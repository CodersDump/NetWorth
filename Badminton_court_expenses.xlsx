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OneDrive\Documents\"/>
    </mc:Choice>
  </mc:AlternateContent>
  <xr:revisionPtr revIDLastSave="0" documentId="13_ncr:1_{D0CB708C-1842-46C3-9D16-BEAB96357444}" xr6:coauthVersionLast="47" xr6:coauthVersionMax="47" xr10:uidLastSave="{00000000-0000-0000-0000-000000000000}"/>
  <bookViews>
    <workbookView xWindow="-98" yWindow="-98" windowWidth="21795" windowHeight="12975" firstSheet="1" activeTab="1" xr2:uid="{A9BCDDDD-2148-4251-A6DF-7E2FD7D2DB0D}"/>
  </bookViews>
  <sheets>
    <sheet name="Sheet1" sheetId="1" state="hidden" r:id="rId1"/>
    <sheet name="Calculations" sheetId="2" r:id="rId2"/>
  </sheets>
  <definedNames>
    <definedName name="_xlnm._FilterDatabase" localSheetId="1" hidden="1">Calculations!$Z$1:$AD$55</definedName>
    <definedName name="_xlnm._FilterDatabase" localSheetId="0" hidden="1">Sheet1!$T$2:$AA$25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2" l="1"/>
  <c r="W14" i="2"/>
  <c r="V16" i="2"/>
  <c r="U16" i="2"/>
  <c r="S16" i="2"/>
  <c r="R16" i="2"/>
  <c r="V14" i="2"/>
  <c r="U14" i="2"/>
  <c r="S14" i="2"/>
  <c r="R14" i="2"/>
  <c r="V4" i="2"/>
  <c r="V6" i="2"/>
  <c r="V8" i="2"/>
  <c r="V10" i="2"/>
  <c r="V12" i="2"/>
  <c r="V2" i="2"/>
  <c r="U6" i="2"/>
  <c r="U8" i="2"/>
  <c r="U10" i="2"/>
  <c r="U12" i="2"/>
  <c r="U4" i="2"/>
  <c r="U2" i="2"/>
  <c r="S4" i="2"/>
  <c r="S6" i="2"/>
  <c r="S8" i="2"/>
  <c r="S10" i="2"/>
  <c r="S12" i="2"/>
  <c r="S2" i="2"/>
  <c r="R2" i="2"/>
  <c r="R4" i="2"/>
  <c r="R6" i="2"/>
  <c r="R8" i="2"/>
  <c r="R10" i="2"/>
  <c r="W10" i="2" s="1"/>
  <c r="R12" i="2"/>
  <c r="H33" i="1"/>
  <c r="G33" i="1"/>
  <c r="F33" i="1"/>
  <c r="Q33" i="1"/>
  <c r="P33" i="1"/>
  <c r="O33" i="1"/>
  <c r="Q32" i="1" a="1"/>
  <c r="H32" i="1" a="1"/>
  <c r="P31" i="1"/>
  <c r="P32" i="1" s="1" a="1"/>
  <c r="O31" i="1"/>
  <c r="O32" i="1" s="1"/>
  <c r="G31" i="1"/>
  <c r="G32" i="1" s="1"/>
  <c r="F31" i="1"/>
  <c r="F32" i="1" s="1"/>
  <c r="P30" i="1"/>
  <c r="O30" i="1"/>
  <c r="G30" i="1"/>
  <c r="F30" i="1"/>
  <c r="Q19" i="1" a="1"/>
  <c r="Q20" i="1"/>
  <c r="P20" i="1"/>
  <c r="F18" i="1"/>
  <c r="H19" i="1" a="1"/>
  <c r="H20" i="1"/>
  <c r="G20" i="1"/>
  <c r="Y25" i="1"/>
  <c r="Z25" i="1"/>
  <c r="F20" i="1"/>
  <c r="G17" i="1"/>
  <c r="O20" i="1"/>
  <c r="G18" i="1"/>
  <c r="F17" i="1"/>
  <c r="P18" i="1"/>
  <c r="P17" i="1"/>
  <c r="O18" i="1"/>
  <c r="O17" i="1"/>
  <c r="V25" i="1"/>
  <c r="W25" i="1"/>
  <c r="X25" i="1"/>
  <c r="N6" i="1"/>
  <c r="N5" i="1"/>
  <c r="E6" i="1"/>
  <c r="E5" i="1"/>
  <c r="X16" i="2" l="1"/>
  <c r="T16" i="2"/>
  <c r="X14" i="2"/>
  <c r="T14" i="2"/>
  <c r="W16" i="2"/>
  <c r="T6" i="2"/>
  <c r="T8" i="2"/>
  <c r="T10" i="2"/>
  <c r="X2" i="2"/>
  <c r="T12" i="2"/>
  <c r="T4" i="2"/>
  <c r="T2" i="2"/>
  <c r="X10" i="2"/>
  <c r="W2" i="2"/>
  <c r="W4" i="2"/>
  <c r="X4" i="2"/>
  <c r="W6" i="2"/>
  <c r="X6" i="2"/>
  <c r="W8" i="2"/>
  <c r="X8" i="2"/>
  <c r="W12" i="2"/>
  <c r="H34" i="1"/>
  <c r="G34" i="1"/>
  <c r="F34" i="1"/>
  <c r="Q34" i="1"/>
  <c r="P34" i="1"/>
  <c r="O34" i="1"/>
  <c r="F19" i="1"/>
  <c r="F21" i="1" s="1"/>
  <c r="P19" i="1" a="1"/>
  <c r="P21" i="1" s="1"/>
  <c r="G19" i="1"/>
  <c r="G21" i="1" s="1"/>
  <c r="H21" i="1"/>
  <c r="Q21" i="1"/>
  <c r="N7" i="1"/>
  <c r="N9" i="1" s="1"/>
  <c r="E7" i="1"/>
  <c r="E9" i="1" s="1"/>
  <c r="O19" i="1"/>
  <c r="O21" i="1" s="1"/>
  <c r="Q35" i="1" l="1"/>
  <c r="H35" i="1"/>
  <c r="Q22" i="1"/>
  <c r="H22" i="1"/>
  <c r="U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<sst xmlns="http://schemas.openxmlformats.org/spreadsheetml/2006/main" count="1185" uniqueCount="139">
  <si>
    <t>Expense</t>
  </si>
  <si>
    <t>Quantity</t>
  </si>
  <si>
    <t>Item</t>
  </si>
  <si>
    <t>Effective Cost</t>
  </si>
  <si>
    <t>Monthly court booking</t>
  </si>
  <si>
    <t>Yonex 350 shuttle box</t>
  </si>
  <si>
    <t>Total cost</t>
  </si>
  <si>
    <t>Players</t>
  </si>
  <si>
    <t>Cost per player</t>
  </si>
  <si>
    <t>April 2026 8AM-9AM</t>
  </si>
  <si>
    <t>April 2026 7AM-8AM</t>
  </si>
  <si>
    <t>Abhishek V</t>
  </si>
  <si>
    <t>Abhishek K</t>
  </si>
  <si>
    <t>Abhishek C</t>
  </si>
  <si>
    <t>Saurabh Tiwari</t>
  </si>
  <si>
    <t>Sourabh C</t>
  </si>
  <si>
    <t>Suraj</t>
  </si>
  <si>
    <t>Gangaram Ghadi</t>
  </si>
  <si>
    <t>Ramchander</t>
  </si>
  <si>
    <t>Ram Shukla</t>
  </si>
  <si>
    <t>Mayank</t>
  </si>
  <si>
    <t>Vanshika</t>
  </si>
  <si>
    <t>Shashi</t>
  </si>
  <si>
    <t>Ayush</t>
  </si>
  <si>
    <t>Krishna</t>
  </si>
  <si>
    <t>Saurabh Devle</t>
  </si>
  <si>
    <t>Pradeep</t>
  </si>
  <si>
    <t>Mohit</t>
  </si>
  <si>
    <t>Mirgank</t>
  </si>
  <si>
    <t>May</t>
  </si>
  <si>
    <t>7 to 8</t>
  </si>
  <si>
    <t>8 to 9</t>
  </si>
  <si>
    <t>Yes</t>
  </si>
  <si>
    <t>No</t>
  </si>
  <si>
    <t>Total Count</t>
  </si>
  <si>
    <t>Remark</t>
  </si>
  <si>
    <t>Doctor hasn't allowed yet</t>
  </si>
  <si>
    <t>Shifting to 7-8</t>
  </si>
  <si>
    <t>Will be paying for half the month's worth rent</t>
  </si>
  <si>
    <t>Will ask him to discontinue</t>
  </si>
  <si>
    <t>Has confirmed that will be continuing in both slots</t>
  </si>
  <si>
    <t>Currently considering for 7-8, will finalise on Monday</t>
  </si>
  <si>
    <t>-</t>
  </si>
  <si>
    <t>Discontinuing 7-8, will be playing just in 8-9</t>
  </si>
  <si>
    <t>Continuing back in 7-8</t>
  </si>
  <si>
    <t xml:space="preserve"> </t>
  </si>
  <si>
    <t>May 2026 8AM-9AM</t>
  </si>
  <si>
    <t>May 2026 7AM-8AM</t>
  </si>
  <si>
    <t>April</t>
  </si>
  <si>
    <t>Revised Cost</t>
  </si>
  <si>
    <t>Revised Total Cost</t>
  </si>
  <si>
    <t>June</t>
  </si>
  <si>
    <t>Extra players</t>
  </si>
  <si>
    <t>Month</t>
  </si>
  <si>
    <t>Fees</t>
  </si>
  <si>
    <t>If good to recruit</t>
  </si>
  <si>
    <t>Ripudaman</t>
  </si>
  <si>
    <t>Omkar</t>
  </si>
  <si>
    <t>Skill on playo</t>
  </si>
  <si>
    <t>Intermediate</t>
  </si>
  <si>
    <t>Nope</t>
  </si>
  <si>
    <t>Maybe</t>
  </si>
  <si>
    <t>Shivam</t>
  </si>
  <si>
    <t>Tejas</t>
  </si>
  <si>
    <t>Timeslot</t>
  </si>
  <si>
    <t>8AM-9AM</t>
  </si>
  <si>
    <t>May 2026</t>
  </si>
  <si>
    <t>Sahil</t>
  </si>
  <si>
    <t>Aditya Yelegaona</t>
  </si>
  <si>
    <t>Rohit(+2)</t>
  </si>
  <si>
    <t>Aniket</t>
  </si>
  <si>
    <t>Omkar Patil</t>
  </si>
  <si>
    <t>Day</t>
  </si>
  <si>
    <t>24th</t>
  </si>
  <si>
    <t>23rd</t>
  </si>
  <si>
    <t>22nd</t>
  </si>
  <si>
    <t>21st</t>
  </si>
  <si>
    <t>10th</t>
  </si>
  <si>
    <t>9th</t>
  </si>
  <si>
    <t>Actual Expenditure</t>
  </si>
  <si>
    <t>Sohan Kuchangari</t>
  </si>
  <si>
    <t>25th</t>
  </si>
  <si>
    <t>NA</t>
  </si>
  <si>
    <t>Aditya Nair</t>
  </si>
  <si>
    <t>Sandeep Rathore</t>
  </si>
  <si>
    <t>Vibhudatta</t>
  </si>
  <si>
    <t>June 2026 8AM-9AM</t>
  </si>
  <si>
    <t>June 2026 7AM-8AM</t>
  </si>
  <si>
    <t>Prasanna</t>
  </si>
  <si>
    <t>26th</t>
  </si>
  <si>
    <t>27th</t>
  </si>
  <si>
    <t>28th</t>
  </si>
  <si>
    <t>Has other plans</t>
  </si>
  <si>
    <t>Initial Cost</t>
  </si>
  <si>
    <t>Residual amount if any, to be returned per person</t>
  </si>
  <si>
    <t>Year</t>
  </si>
  <si>
    <t>Slot</t>
  </si>
  <si>
    <t>Cost Per Person</t>
  </si>
  <si>
    <t>Badminton Court</t>
  </si>
  <si>
    <t>Shuttle box</t>
  </si>
  <si>
    <t>7AM-8AM</t>
  </si>
  <si>
    <t>Actual Cost per Item</t>
  </si>
  <si>
    <t>Estimated Quantity</t>
  </si>
  <si>
    <t>29th</t>
  </si>
  <si>
    <t>30th</t>
  </si>
  <si>
    <t>31st</t>
  </si>
  <si>
    <t>Player</t>
  </si>
  <si>
    <t>Estimated Cost per Item</t>
  </si>
  <si>
    <t>Actual Quantity</t>
  </si>
  <si>
    <t>Estimated Total Cost per slot</t>
  </si>
  <si>
    <t>Actual Total Cost per slot</t>
  </si>
  <si>
    <t>Any Residula amount</t>
  </si>
  <si>
    <t>2026</t>
  </si>
  <si>
    <t>Bibhudatta</t>
  </si>
  <si>
    <t>Sandeep</t>
  </si>
  <si>
    <t>1st</t>
  </si>
  <si>
    <t>Status</t>
  </si>
  <si>
    <t>2nd</t>
  </si>
  <si>
    <t>3rd</t>
  </si>
  <si>
    <t>4th</t>
  </si>
  <si>
    <t>5th</t>
  </si>
  <si>
    <t>6th</t>
  </si>
  <si>
    <t>Difference in Estimated and Actual</t>
  </si>
  <si>
    <t>Extra Amount Collected</t>
  </si>
  <si>
    <t>Player Count</t>
  </si>
  <si>
    <t>8th</t>
  </si>
  <si>
    <t>7th</t>
  </si>
  <si>
    <t>Jay</t>
  </si>
  <si>
    <t>11th</t>
  </si>
  <si>
    <t>12th</t>
  </si>
  <si>
    <t>13th</t>
  </si>
  <si>
    <t>14th</t>
  </si>
  <si>
    <t>16th</t>
  </si>
  <si>
    <t>20th</t>
  </si>
  <si>
    <t>Udit</t>
  </si>
  <si>
    <t>Sashi</t>
  </si>
  <si>
    <t>Safal</t>
  </si>
  <si>
    <t>July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</si>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</sst>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17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" fontId="0" fillId="5" borderId="1" xfId="0" applyNumberFormat="1" applyFill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464A-6DF2-4715-A396-D4ADA2DFA9B0}">
  <dimension ref="B1:AI35"/>
  <sheetViews>
    <sheetView topLeftCell="P1" workbookViewId="0">
      <selection activeCell="AF31" sqref="AF31:AH37"/>
    </sheetView>
  </sheetViews>
  <sheetFormatPr defaultColWidth="9.1328125" defaultRowHeight="14.25" x14ac:dyDescent="0.45"/>
  <cols>
    <col min="1" max="1" width="2.3984375" style="2" customWidth="1"/>
    <col min="2" max="2" width="20.86328125" style="2" bestFit="1" customWidth="1"/>
    <col min="3" max="3" width="9.1328125" style="2"/>
    <col min="4" max="4" width="13.1328125" style="2" bestFit="1" customWidth="1"/>
    <col min="5" max="6" width="14" style="2" bestFit="1" customWidth="1"/>
    <col min="7" max="7" width="18.1328125" style="2" bestFit="1" customWidth="1"/>
    <col min="8" max="9" width="18.1328125" style="2" customWidth="1"/>
    <col min="10" max="10" width="9.1328125" style="2"/>
    <col min="11" max="11" width="20.86328125" style="2" bestFit="1" customWidth="1"/>
    <col min="12" max="12" width="9.1328125" style="2"/>
    <col min="13" max="13" width="13.1328125" style="2" bestFit="1" customWidth="1"/>
    <col min="14" max="15" width="14" style="2" bestFit="1" customWidth="1"/>
    <col min="16" max="16" width="18.1328125" style="2" bestFit="1" customWidth="1"/>
    <col min="17" max="17" width="18.1328125" style="2" customWidth="1"/>
    <col min="18" max="18" width="15.3984375" style="2" customWidth="1"/>
    <col min="19" max="19" width="9.1328125" style="2"/>
    <col min="20" max="20" width="17.3984375" style="2" bestFit="1" customWidth="1"/>
    <col min="21" max="26" width="9.3984375" style="2" customWidth="1"/>
    <col min="27" max="27" width="48.265625" style="2" bestFit="1" customWidth="1"/>
    <col min="28" max="28" width="9.1328125" style="2"/>
    <col min="29" max="29" width="18" style="2" bestFit="1" customWidth="1"/>
    <col min="30" max="30" width="10.59765625" style="2" customWidth="1"/>
    <col min="31" max="31" width="14.3984375" style="11" customWidth="1"/>
    <col min="32" max="32" width="9.1328125" style="2" bestFit="1" customWidth="1"/>
    <col min="33" max="33" width="9" style="2"/>
    <col min="34" max="34" width="12.86328125" style="2" bestFit="1" customWidth="1"/>
    <col min="35" max="35" width="16" style="2" bestFit="1" customWidth="1"/>
    <col min="36" max="16384" width="9.1328125" style="2"/>
  </cols>
  <sheetData>
    <row r="1" spans="2:35" ht="15" thickTop="1" thickBot="1" x14ac:dyDescent="0.5">
      <c r="T1" s="52" t="s">
        <v>7</v>
      </c>
      <c r="U1" s="55" t="s">
        <v>48</v>
      </c>
      <c r="V1" s="54"/>
      <c r="W1" s="50" t="s">
        <v>29</v>
      </c>
      <c r="X1" s="51"/>
      <c r="Y1" s="51" t="s">
        <v>51</v>
      </c>
      <c r="Z1" s="56"/>
      <c r="AA1" s="54" t="s">
        <v>35</v>
      </c>
      <c r="AC1" s="1" t="s">
        <v>52</v>
      </c>
      <c r="AD1" s="1" t="s">
        <v>72</v>
      </c>
      <c r="AE1" s="17" t="s">
        <v>53</v>
      </c>
      <c r="AF1" s="1" t="s">
        <v>64</v>
      </c>
      <c r="AG1" s="1" t="s">
        <v>54</v>
      </c>
      <c r="AH1" s="1" t="s">
        <v>58</v>
      </c>
      <c r="AI1" s="1" t="s">
        <v>55</v>
      </c>
    </row>
    <row r="2" spans="2:35" ht="18.75" thickTop="1" thickBot="1" x14ac:dyDescent="0.5">
      <c r="B2" s="49" t="s">
        <v>9</v>
      </c>
      <c r="C2" s="49"/>
      <c r="D2" s="49"/>
      <c r="E2" s="49"/>
      <c r="F2" s="8"/>
      <c r="G2" s="8"/>
      <c r="H2" s="8"/>
      <c r="I2" s="8"/>
      <c r="K2" s="49" t="s">
        <v>10</v>
      </c>
      <c r="L2" s="49"/>
      <c r="M2" s="49"/>
      <c r="N2" s="49"/>
      <c r="T2" s="53"/>
      <c r="U2" s="20" t="s">
        <v>30</v>
      </c>
      <c r="V2" s="5" t="s">
        <v>31</v>
      </c>
      <c r="W2" s="20" t="s">
        <v>30</v>
      </c>
      <c r="X2" s="5" t="s">
        <v>31</v>
      </c>
      <c r="Y2" s="12" t="s">
        <v>30</v>
      </c>
      <c r="Z2" s="12" t="s">
        <v>31</v>
      </c>
      <c r="AA2" s="53"/>
      <c r="AC2" s="15" t="s">
        <v>56</v>
      </c>
      <c r="AD2" s="15" t="s">
        <v>78</v>
      </c>
      <c r="AE2" s="13" t="s">
        <v>66</v>
      </c>
      <c r="AF2" s="14" t="s">
        <v>65</v>
      </c>
      <c r="AG2" s="15">
        <v>60</v>
      </c>
      <c r="AH2" s="15" t="s">
        <v>59</v>
      </c>
      <c r="AI2" s="15" t="s">
        <v>61</v>
      </c>
    </row>
    <row r="3" spans="2:35" ht="18.399999999999999" thickTop="1" x14ac:dyDescent="0.45">
      <c r="B3" s="49"/>
      <c r="C3" s="49"/>
      <c r="D3" s="49"/>
      <c r="E3" s="49"/>
      <c r="F3" s="8"/>
      <c r="G3" s="8"/>
      <c r="H3" s="8"/>
      <c r="I3" s="8"/>
      <c r="K3" s="49"/>
      <c r="L3" s="49"/>
      <c r="M3" s="49"/>
      <c r="N3" s="49"/>
      <c r="T3" s="4" t="s">
        <v>83</v>
      </c>
      <c r="U3" s="4" t="s">
        <v>32</v>
      </c>
      <c r="V3" s="4" t="s">
        <v>32</v>
      </c>
      <c r="W3" s="4" t="s">
        <v>32</v>
      </c>
      <c r="X3" s="4" t="s">
        <v>32</v>
      </c>
      <c r="Y3" s="4" t="s">
        <v>32</v>
      </c>
      <c r="Z3" s="4" t="s">
        <v>32</v>
      </c>
      <c r="AA3" s="4" t="s">
        <v>42</v>
      </c>
      <c r="AC3" s="15" t="s">
        <v>57</v>
      </c>
      <c r="AD3" s="15" t="s">
        <v>78</v>
      </c>
      <c r="AE3" s="13" t="s">
        <v>66</v>
      </c>
      <c r="AF3" s="14" t="s">
        <v>65</v>
      </c>
      <c r="AG3" s="15">
        <v>60</v>
      </c>
      <c r="AH3" s="15" t="s">
        <v>59</v>
      </c>
      <c r="AI3" s="15" t="s">
        <v>60</v>
      </c>
    </row>
    <row r="4" spans="2:35" x14ac:dyDescent="0.45">
      <c r="B4" s="1" t="s">
        <v>2</v>
      </c>
      <c r="C4" s="1" t="s">
        <v>0</v>
      </c>
      <c r="D4" s="1" t="s">
        <v>1</v>
      </c>
      <c r="E4" s="1" t="s">
        <v>3</v>
      </c>
      <c r="F4" s="9"/>
      <c r="G4" s="9"/>
      <c r="H4" s="9"/>
      <c r="I4" s="9"/>
      <c r="K4" s="1" t="s">
        <v>2</v>
      </c>
      <c r="L4" s="1" t="s">
        <v>0</v>
      </c>
      <c r="M4" s="1" t="s">
        <v>1</v>
      </c>
      <c r="N4" s="1" t="s">
        <v>3</v>
      </c>
      <c r="T4" s="3" t="s">
        <v>26</v>
      </c>
      <c r="U4" s="3" t="s">
        <v>32</v>
      </c>
      <c r="V4" s="3" t="s">
        <v>33</v>
      </c>
      <c r="W4" s="3" t="s">
        <v>32</v>
      </c>
      <c r="X4" s="3" t="s">
        <v>33</v>
      </c>
      <c r="Y4" s="3" t="s">
        <v>32</v>
      </c>
      <c r="Z4" s="3" t="s">
        <v>33</v>
      </c>
      <c r="AA4" s="3" t="s">
        <v>42</v>
      </c>
      <c r="AC4" s="15" t="s">
        <v>62</v>
      </c>
      <c r="AD4" s="15" t="s">
        <v>78</v>
      </c>
      <c r="AE4" s="13" t="s">
        <v>66</v>
      </c>
      <c r="AF4" s="14" t="s">
        <v>65</v>
      </c>
      <c r="AG4" s="15">
        <v>60</v>
      </c>
      <c r="AH4" s="15" t="s">
        <v>59</v>
      </c>
      <c r="AI4" s="15" t="s">
        <v>60</v>
      </c>
    </row>
    <row r="5" spans="2:35" x14ac:dyDescent="0.45">
      <c r="B5" s="10" t="s">
        <v>4</v>
      </c>
      <c r="C5" s="10">
        <v>8200</v>
      </c>
      <c r="D5" s="10">
        <v>2</v>
      </c>
      <c r="E5" s="10">
        <f>C5*D5</f>
        <v>16400</v>
      </c>
      <c r="K5" s="10" t="s">
        <v>4</v>
      </c>
      <c r="L5" s="10">
        <v>8200</v>
      </c>
      <c r="M5" s="10">
        <v>1</v>
      </c>
      <c r="N5" s="10">
        <f>L5*M5</f>
        <v>8200</v>
      </c>
      <c r="T5" s="3" t="s">
        <v>11</v>
      </c>
      <c r="U5" s="3" t="s">
        <v>33</v>
      </c>
      <c r="V5" s="3" t="s">
        <v>32</v>
      </c>
      <c r="W5" s="3" t="s">
        <v>33</v>
      </c>
      <c r="X5" s="3" t="s">
        <v>32</v>
      </c>
      <c r="Y5" s="3" t="s">
        <v>33</v>
      </c>
      <c r="Z5" s="3" t="s">
        <v>32</v>
      </c>
      <c r="AA5" s="3" t="s">
        <v>42</v>
      </c>
      <c r="AC5" s="18" t="s">
        <v>63</v>
      </c>
      <c r="AD5" s="18" t="s">
        <v>77</v>
      </c>
      <c r="AE5" s="16" t="s">
        <v>66</v>
      </c>
      <c r="AF5" s="19" t="s">
        <v>65</v>
      </c>
      <c r="AG5" s="18">
        <v>80</v>
      </c>
      <c r="AH5" s="18" t="s">
        <v>59</v>
      </c>
      <c r="AI5" s="18" t="s">
        <v>60</v>
      </c>
    </row>
    <row r="6" spans="2:35" x14ac:dyDescent="0.45">
      <c r="B6" s="10" t="s">
        <v>5</v>
      </c>
      <c r="C6" s="10">
        <v>1050</v>
      </c>
      <c r="D6" s="10">
        <v>3</v>
      </c>
      <c r="E6" s="10">
        <f>C6*D6</f>
        <v>3150</v>
      </c>
      <c r="K6" s="10" t="s">
        <v>5</v>
      </c>
      <c r="L6" s="10">
        <v>1050</v>
      </c>
      <c r="M6" s="10">
        <v>2</v>
      </c>
      <c r="N6" s="10">
        <f>L6*M6</f>
        <v>2100</v>
      </c>
      <c r="T6" s="3" t="s">
        <v>12</v>
      </c>
      <c r="U6" s="3" t="s">
        <v>33</v>
      </c>
      <c r="V6" s="3" t="s">
        <v>32</v>
      </c>
      <c r="W6" s="3" t="s">
        <v>33</v>
      </c>
      <c r="X6" s="3" t="s">
        <v>32</v>
      </c>
      <c r="Y6" s="3" t="s">
        <v>33</v>
      </c>
      <c r="Z6" s="3" t="s">
        <v>32</v>
      </c>
      <c r="AA6" s="3" t="s">
        <v>42</v>
      </c>
      <c r="AC6" s="15" t="s">
        <v>57</v>
      </c>
      <c r="AD6" s="15" t="s">
        <v>76</v>
      </c>
      <c r="AE6" s="13" t="s">
        <v>66</v>
      </c>
      <c r="AF6" s="15" t="s">
        <v>65</v>
      </c>
      <c r="AG6" s="15">
        <v>80</v>
      </c>
      <c r="AH6" s="15" t="s">
        <v>59</v>
      </c>
      <c r="AI6" s="15" t="s">
        <v>60</v>
      </c>
    </row>
    <row r="7" spans="2:35" x14ac:dyDescent="0.45">
      <c r="B7" s="39" t="s">
        <v>6</v>
      </c>
      <c r="C7" s="39"/>
      <c r="D7" s="39"/>
      <c r="E7" s="10">
        <f>SUM(E5:E6)</f>
        <v>19550</v>
      </c>
      <c r="K7" s="39" t="s">
        <v>6</v>
      </c>
      <c r="L7" s="39"/>
      <c r="M7" s="39"/>
      <c r="N7" s="10">
        <f>SUM(N5:N6)</f>
        <v>10300</v>
      </c>
      <c r="T7" s="3" t="s">
        <v>13</v>
      </c>
      <c r="U7" s="3" t="s">
        <v>33</v>
      </c>
      <c r="V7" s="3" t="s">
        <v>33</v>
      </c>
      <c r="W7" s="3" t="s">
        <v>32</v>
      </c>
      <c r="X7" s="3" t="s">
        <v>33</v>
      </c>
      <c r="Y7" s="3" t="s">
        <v>32</v>
      </c>
      <c r="Z7" s="3" t="s">
        <v>33</v>
      </c>
      <c r="AA7" s="3" t="s">
        <v>42</v>
      </c>
      <c r="AC7" s="15" t="s">
        <v>27</v>
      </c>
      <c r="AD7" s="15" t="s">
        <v>76</v>
      </c>
      <c r="AE7" s="13" t="s">
        <v>66</v>
      </c>
      <c r="AF7" s="15" t="s">
        <v>65</v>
      </c>
      <c r="AG7" s="15">
        <v>80</v>
      </c>
      <c r="AH7" s="15" t="s">
        <v>59</v>
      </c>
      <c r="AI7" s="15" t="s">
        <v>61</v>
      </c>
    </row>
    <row r="8" spans="2:35" x14ac:dyDescent="0.45">
      <c r="B8" s="39" t="s">
        <v>7</v>
      </c>
      <c r="C8" s="39"/>
      <c r="D8" s="39"/>
      <c r="E8" s="10">
        <v>10</v>
      </c>
      <c r="K8" s="39" t="s">
        <v>7</v>
      </c>
      <c r="L8" s="39"/>
      <c r="M8" s="39"/>
      <c r="N8" s="10">
        <v>8</v>
      </c>
      <c r="T8" s="3" t="s">
        <v>25</v>
      </c>
      <c r="U8" s="3" t="s">
        <v>33</v>
      </c>
      <c r="V8" s="3" t="s">
        <v>33</v>
      </c>
      <c r="W8" s="3" t="s">
        <v>33</v>
      </c>
      <c r="X8" s="3" t="s">
        <v>33</v>
      </c>
      <c r="Y8" s="3" t="s">
        <v>33</v>
      </c>
      <c r="Z8" s="3" t="s">
        <v>33</v>
      </c>
      <c r="AA8" s="3" t="s">
        <v>36</v>
      </c>
      <c r="AC8" s="15" t="s">
        <v>67</v>
      </c>
      <c r="AD8" s="15" t="s">
        <v>76</v>
      </c>
      <c r="AE8" s="13" t="s">
        <v>66</v>
      </c>
      <c r="AF8" s="15" t="s">
        <v>65</v>
      </c>
      <c r="AG8" s="15">
        <v>100</v>
      </c>
      <c r="AH8" s="15" t="s">
        <v>59</v>
      </c>
      <c r="AI8" s="15" t="s">
        <v>60</v>
      </c>
    </row>
    <row r="9" spans="2:35" x14ac:dyDescent="0.45">
      <c r="B9" s="39" t="s">
        <v>8</v>
      </c>
      <c r="C9" s="39"/>
      <c r="D9" s="39"/>
      <c r="E9" s="10">
        <f>E7/E8</f>
        <v>1955</v>
      </c>
      <c r="K9" s="39" t="s">
        <v>8</v>
      </c>
      <c r="L9" s="39"/>
      <c r="M9" s="39"/>
      <c r="N9" s="10">
        <f>N7/N8</f>
        <v>1287.5</v>
      </c>
      <c r="T9" s="3" t="s">
        <v>14</v>
      </c>
      <c r="U9" s="3" t="s">
        <v>33</v>
      </c>
      <c r="V9" s="3" t="s">
        <v>32</v>
      </c>
      <c r="W9" s="3" t="s">
        <v>33</v>
      </c>
      <c r="X9" s="3" t="s">
        <v>33</v>
      </c>
      <c r="Y9" s="3" t="s">
        <v>33</v>
      </c>
      <c r="Z9" s="3" t="s">
        <v>33</v>
      </c>
      <c r="AA9" s="3" t="s">
        <v>92</v>
      </c>
      <c r="AC9" s="18" t="s">
        <v>67</v>
      </c>
      <c r="AD9" s="18" t="s">
        <v>75</v>
      </c>
      <c r="AE9" s="16" t="s">
        <v>66</v>
      </c>
      <c r="AF9" s="19" t="s">
        <v>65</v>
      </c>
      <c r="AG9" s="18">
        <v>80</v>
      </c>
      <c r="AH9" s="18" t="s">
        <v>59</v>
      </c>
      <c r="AI9" s="18" t="s">
        <v>60</v>
      </c>
    </row>
    <row r="10" spans="2:35" x14ac:dyDescent="0.45">
      <c r="T10" s="3" t="s">
        <v>15</v>
      </c>
      <c r="U10" s="3" t="s">
        <v>33</v>
      </c>
      <c r="V10" s="3" t="s">
        <v>33</v>
      </c>
      <c r="W10" s="3" t="s">
        <v>32</v>
      </c>
      <c r="X10" s="3" t="s">
        <v>32</v>
      </c>
      <c r="Y10" s="3" t="s">
        <v>32</v>
      </c>
      <c r="Z10" s="3" t="s">
        <v>32</v>
      </c>
      <c r="AA10" s="3" t="s">
        <v>42</v>
      </c>
      <c r="AC10" s="18" t="s">
        <v>68</v>
      </c>
      <c r="AD10" s="18" t="s">
        <v>75</v>
      </c>
      <c r="AE10" s="16" t="s">
        <v>66</v>
      </c>
      <c r="AF10" s="19" t="s">
        <v>65</v>
      </c>
      <c r="AG10" s="18">
        <v>80</v>
      </c>
      <c r="AH10" s="18" t="s">
        <v>59</v>
      </c>
      <c r="AI10" s="18" t="s">
        <v>32</v>
      </c>
    </row>
    <row r="11" spans="2:35" x14ac:dyDescent="0.45">
      <c r="T11" s="3" t="s">
        <v>16</v>
      </c>
      <c r="U11" s="3" t="s">
        <v>32</v>
      </c>
      <c r="V11" s="3" t="s">
        <v>32</v>
      </c>
      <c r="W11" s="3" t="s">
        <v>33</v>
      </c>
      <c r="X11" s="3" t="s">
        <v>32</v>
      </c>
      <c r="Y11" s="3" t="s">
        <v>33</v>
      </c>
      <c r="Z11" s="3" t="s">
        <v>32</v>
      </c>
      <c r="AA11" s="3" t="s">
        <v>43</v>
      </c>
      <c r="AC11" s="18" t="s">
        <v>27</v>
      </c>
      <c r="AD11" s="18" t="s">
        <v>75</v>
      </c>
      <c r="AE11" s="16" t="s">
        <v>66</v>
      </c>
      <c r="AF11" s="19" t="s">
        <v>65</v>
      </c>
      <c r="AG11" s="18">
        <v>80</v>
      </c>
      <c r="AH11" s="18" t="s">
        <v>59</v>
      </c>
      <c r="AI11" s="18" t="s">
        <v>61</v>
      </c>
    </row>
    <row r="12" spans="2:35" x14ac:dyDescent="0.45">
      <c r="T12" s="3" t="s">
        <v>17</v>
      </c>
      <c r="U12" s="3" t="s">
        <v>33</v>
      </c>
      <c r="V12" s="3" t="s">
        <v>32</v>
      </c>
      <c r="W12" s="3" t="s">
        <v>33</v>
      </c>
      <c r="X12" s="3" t="s">
        <v>32</v>
      </c>
      <c r="Y12" s="3" t="s">
        <v>33</v>
      </c>
      <c r="Z12" s="3" t="s">
        <v>32</v>
      </c>
      <c r="AA12" s="3" t="s">
        <v>42</v>
      </c>
      <c r="AC12" s="18" t="s">
        <v>80</v>
      </c>
      <c r="AD12" s="18" t="s">
        <v>75</v>
      </c>
      <c r="AE12" s="16" t="s">
        <v>66</v>
      </c>
      <c r="AF12" s="19" t="s">
        <v>65</v>
      </c>
      <c r="AG12" s="18">
        <v>80</v>
      </c>
      <c r="AH12" s="18" t="s">
        <v>59</v>
      </c>
      <c r="AI12" s="18"/>
    </row>
    <row r="13" spans="2:35" x14ac:dyDescent="0.45">
      <c r="T13" s="3" t="s">
        <v>18</v>
      </c>
      <c r="U13" s="3" t="s">
        <v>32</v>
      </c>
      <c r="V13" s="3" t="s">
        <v>32</v>
      </c>
      <c r="W13" s="3" t="s">
        <v>33</v>
      </c>
      <c r="X13" s="3" t="s">
        <v>33</v>
      </c>
      <c r="Y13" s="3" t="s">
        <v>33</v>
      </c>
      <c r="Z13" s="3" t="s">
        <v>33</v>
      </c>
      <c r="AA13" s="3" t="s">
        <v>92</v>
      </c>
      <c r="AC13" s="15" t="s">
        <v>69</v>
      </c>
      <c r="AD13" s="15" t="s">
        <v>74</v>
      </c>
      <c r="AE13" s="13" t="s">
        <v>66</v>
      </c>
      <c r="AF13" s="15" t="s">
        <v>65</v>
      </c>
      <c r="AG13" s="15">
        <v>270</v>
      </c>
      <c r="AH13" s="15" t="s">
        <v>59</v>
      </c>
      <c r="AI13" s="15"/>
    </row>
    <row r="14" spans="2:35" ht="14.25" customHeight="1" x14ac:dyDescent="0.45">
      <c r="B14" s="43" t="s">
        <v>46</v>
      </c>
      <c r="C14" s="44"/>
      <c r="D14" s="44"/>
      <c r="E14" s="44"/>
      <c r="F14" s="44"/>
      <c r="G14" s="44"/>
      <c r="H14" s="45"/>
      <c r="I14" s="8"/>
      <c r="K14" s="49" t="s">
        <v>47</v>
      </c>
      <c r="L14" s="49"/>
      <c r="M14" s="49"/>
      <c r="N14" s="49"/>
      <c r="O14" s="49"/>
      <c r="P14" s="49"/>
      <c r="Q14" s="49"/>
      <c r="R14" s="8"/>
      <c r="T14" s="3" t="s">
        <v>19</v>
      </c>
      <c r="U14" s="3" t="s">
        <v>33</v>
      </c>
      <c r="V14" s="3" t="s">
        <v>33</v>
      </c>
      <c r="W14" s="3" t="s">
        <v>33</v>
      </c>
      <c r="X14" s="3" t="s">
        <v>32</v>
      </c>
      <c r="Y14" s="3" t="s">
        <v>33</v>
      </c>
      <c r="Z14" s="3" t="s">
        <v>32</v>
      </c>
      <c r="AA14" s="3" t="s">
        <v>44</v>
      </c>
      <c r="AC14" s="15" t="s">
        <v>68</v>
      </c>
      <c r="AD14" s="15" t="s">
        <v>74</v>
      </c>
      <c r="AE14" s="13" t="s">
        <v>66</v>
      </c>
      <c r="AF14" s="15" t="s">
        <v>65</v>
      </c>
      <c r="AG14" s="15">
        <v>90</v>
      </c>
      <c r="AH14" s="15" t="s">
        <v>59</v>
      </c>
      <c r="AI14" s="15" t="s">
        <v>32</v>
      </c>
    </row>
    <row r="15" spans="2:35" ht="14.65" customHeight="1" x14ac:dyDescent="0.45">
      <c r="B15" s="46"/>
      <c r="C15" s="47"/>
      <c r="D15" s="47"/>
      <c r="E15" s="47"/>
      <c r="F15" s="47"/>
      <c r="G15" s="47"/>
      <c r="H15" s="48"/>
      <c r="I15" s="8"/>
      <c r="K15" s="49"/>
      <c r="L15" s="49"/>
      <c r="M15" s="49"/>
      <c r="N15" s="49"/>
      <c r="O15" s="49"/>
      <c r="P15" s="49"/>
      <c r="Q15" s="49"/>
      <c r="R15" s="8"/>
      <c r="T15" s="3" t="s">
        <v>20</v>
      </c>
      <c r="U15" s="3" t="s">
        <v>33</v>
      </c>
      <c r="V15" s="3" t="s">
        <v>32</v>
      </c>
      <c r="W15" s="3" t="s">
        <v>32</v>
      </c>
      <c r="X15" s="3" t="s">
        <v>33</v>
      </c>
      <c r="Y15" s="3" t="s">
        <v>32</v>
      </c>
      <c r="Z15" s="3" t="s">
        <v>33</v>
      </c>
      <c r="AA15" s="3" t="s">
        <v>37</v>
      </c>
      <c r="AC15" s="15" t="s">
        <v>80</v>
      </c>
      <c r="AD15" s="15" t="s">
        <v>74</v>
      </c>
      <c r="AE15" s="13" t="s">
        <v>66</v>
      </c>
      <c r="AF15" s="15" t="s">
        <v>65</v>
      </c>
      <c r="AG15" s="15">
        <v>90</v>
      </c>
      <c r="AH15" s="15" t="s">
        <v>59</v>
      </c>
      <c r="AI15" s="15"/>
    </row>
    <row r="16" spans="2:35" x14ac:dyDescent="0.45">
      <c r="B16" s="1" t="s">
        <v>2</v>
      </c>
      <c r="C16" s="1" t="s">
        <v>0</v>
      </c>
      <c r="D16" s="1" t="s">
        <v>49</v>
      </c>
      <c r="E16" s="1" t="s">
        <v>1</v>
      </c>
      <c r="F16" s="1" t="s">
        <v>93</v>
      </c>
      <c r="G16" s="1" t="s">
        <v>50</v>
      </c>
      <c r="H16" s="1" t="s">
        <v>79</v>
      </c>
      <c r="I16" s="9"/>
      <c r="K16" s="1" t="s">
        <v>2</v>
      </c>
      <c r="L16" s="1" t="s">
        <v>0</v>
      </c>
      <c r="M16" s="1" t="s">
        <v>49</v>
      </c>
      <c r="N16" s="1" t="s">
        <v>1</v>
      </c>
      <c r="O16" s="1" t="s">
        <v>93</v>
      </c>
      <c r="P16" s="1" t="s">
        <v>50</v>
      </c>
      <c r="Q16" s="1" t="s">
        <v>79</v>
      </c>
      <c r="R16" s="9"/>
      <c r="S16" s="23"/>
      <c r="T16" s="3" t="s">
        <v>21</v>
      </c>
      <c r="U16" s="3" t="s">
        <v>33</v>
      </c>
      <c r="V16" s="3" t="s">
        <v>32</v>
      </c>
      <c r="W16" s="3" t="s">
        <v>33</v>
      </c>
      <c r="X16" s="3" t="s">
        <v>32</v>
      </c>
      <c r="Y16" s="3" t="s">
        <v>33</v>
      </c>
      <c r="Z16" s="3" t="s">
        <v>32</v>
      </c>
      <c r="AA16" s="3" t="s">
        <v>42</v>
      </c>
      <c r="AC16" s="15" t="s">
        <v>70</v>
      </c>
      <c r="AD16" s="15" t="s">
        <v>74</v>
      </c>
      <c r="AE16" s="13" t="s">
        <v>66</v>
      </c>
      <c r="AF16" s="15" t="s">
        <v>65</v>
      </c>
      <c r="AG16" s="15">
        <v>90</v>
      </c>
      <c r="AH16" s="15" t="s">
        <v>59</v>
      </c>
      <c r="AI16" s="15" t="s">
        <v>32</v>
      </c>
    </row>
    <row r="17" spans="2:35" x14ac:dyDescent="0.45">
      <c r="B17" s="10" t="s">
        <v>4</v>
      </c>
      <c r="C17" s="10">
        <v>8200</v>
      </c>
      <c r="D17" s="10">
        <v>9500</v>
      </c>
      <c r="E17" s="10">
        <v>2</v>
      </c>
      <c r="F17" s="10">
        <f>C17*E17</f>
        <v>16400</v>
      </c>
      <c r="G17" s="10">
        <f>D17*E17</f>
        <v>19000</v>
      </c>
      <c r="H17" s="10">
        <v>16400</v>
      </c>
      <c r="K17" s="10" t="s">
        <v>4</v>
      </c>
      <c r="L17" s="10">
        <v>8200</v>
      </c>
      <c r="M17" s="10">
        <v>9500</v>
      </c>
      <c r="N17" s="10">
        <v>1</v>
      </c>
      <c r="O17" s="10">
        <f>L17*N17</f>
        <v>8200</v>
      </c>
      <c r="P17" s="10">
        <f>M17*N17</f>
        <v>9500</v>
      </c>
      <c r="Q17" s="10">
        <v>8200</v>
      </c>
      <c r="S17" s="23"/>
      <c r="T17" s="3" t="s">
        <v>22</v>
      </c>
      <c r="U17" s="3" t="s">
        <v>33</v>
      </c>
      <c r="V17" s="3" t="s">
        <v>33</v>
      </c>
      <c r="W17" s="3" t="s">
        <v>33</v>
      </c>
      <c r="X17" s="3" t="s">
        <v>32</v>
      </c>
      <c r="Y17" s="3" t="s">
        <v>82</v>
      </c>
      <c r="Z17" s="3" t="s">
        <v>82</v>
      </c>
      <c r="AA17" s="3" t="s">
        <v>38</v>
      </c>
      <c r="AC17" s="18" t="s">
        <v>62</v>
      </c>
      <c r="AD17" s="18" t="s">
        <v>73</v>
      </c>
      <c r="AE17" s="16" t="s">
        <v>66</v>
      </c>
      <c r="AF17" s="19" t="s">
        <v>65</v>
      </c>
      <c r="AG17" s="18">
        <v>90</v>
      </c>
      <c r="AH17" s="18" t="s">
        <v>59</v>
      </c>
      <c r="AI17" s="18"/>
    </row>
    <row r="18" spans="2:35" x14ac:dyDescent="0.45">
      <c r="B18" s="10" t="s">
        <v>5</v>
      </c>
      <c r="C18" s="10">
        <v>1050</v>
      </c>
      <c r="D18" s="10">
        <v>1150</v>
      </c>
      <c r="E18" s="10">
        <v>3</v>
      </c>
      <c r="F18" s="10">
        <f>C18*E18</f>
        <v>3150</v>
      </c>
      <c r="G18" s="10">
        <f>D18*E18</f>
        <v>3450</v>
      </c>
      <c r="H18" s="10">
        <v>1050</v>
      </c>
      <c r="K18" s="10" t="s">
        <v>5</v>
      </c>
      <c r="L18" s="10">
        <v>1050</v>
      </c>
      <c r="M18" s="10">
        <v>1150</v>
      </c>
      <c r="N18" s="10">
        <v>2</v>
      </c>
      <c r="O18" s="10">
        <f>L18*N18</f>
        <v>2100</v>
      </c>
      <c r="P18" s="10">
        <f>M18*N18</f>
        <v>2300</v>
      </c>
      <c r="Q18" s="10">
        <v>1050</v>
      </c>
      <c r="S18" s="23"/>
      <c r="T18" s="3" t="s">
        <v>23</v>
      </c>
      <c r="U18" s="3" t="s">
        <v>33</v>
      </c>
      <c r="V18" s="3" t="s">
        <v>32</v>
      </c>
      <c r="W18" s="3" t="s">
        <v>82</v>
      </c>
      <c r="X18" s="3" t="s">
        <v>82</v>
      </c>
      <c r="Y18" s="3" t="s">
        <v>82</v>
      </c>
      <c r="Z18" s="3" t="s">
        <v>82</v>
      </c>
      <c r="AA18" s="3" t="s">
        <v>39</v>
      </c>
      <c r="AC18" s="18" t="s">
        <v>80</v>
      </c>
      <c r="AD18" s="18" t="s">
        <v>73</v>
      </c>
      <c r="AE18" s="16" t="s">
        <v>66</v>
      </c>
      <c r="AF18" s="19" t="s">
        <v>65</v>
      </c>
      <c r="AG18" s="18">
        <v>90</v>
      </c>
      <c r="AH18" s="18" t="s">
        <v>59</v>
      </c>
      <c r="AI18" s="18"/>
    </row>
    <row r="19" spans="2:35" x14ac:dyDescent="0.45">
      <c r="B19" s="39" t="s">
        <v>6</v>
      </c>
      <c r="C19" s="39"/>
      <c r="D19" s="39"/>
      <c r="E19" s="39"/>
      <c r="F19" s="10">
        <f>SUM(F17:F18)</f>
        <v>19550</v>
      </c>
      <c r="G19" s="10">
        <f>SUM(G17:G18)</f>
        <v>22450</v>
      </c>
      <c r="H19" s="10" cm="1">
        <f t="array" ref="H19">SUM(H17:H18) -  SUMPRODUCT(((AE2:AE100&amp;" "&amp;AF2:AF100)=B14)*AG2:AG100)</f>
        <v>16660</v>
      </c>
      <c r="K19" s="39" t="s">
        <v>6</v>
      </c>
      <c r="L19" s="39"/>
      <c r="M19" s="39"/>
      <c r="N19" s="39"/>
      <c r="O19" s="10">
        <f>SUM(O17:O18)</f>
        <v>10300</v>
      </c>
      <c r="P19" s="10" cm="1">
        <f t="array" ref="P19">SUM(P17:P18) - SUMPRODUCT(((AE2:AE100&amp;" "&amp;AF2:AF100)=K14)*AG2:AG100)</f>
        <v>11800</v>
      </c>
      <c r="Q19" s="10" cm="1">
        <f t="array" ref="Q19">SUM(Q17:Q18) -  SUMPRODUCT(((AN2:AN100&amp;" "&amp;AO2:AO100)=K14)*AP2:AP100)</f>
        <v>9250</v>
      </c>
      <c r="S19" s="23"/>
      <c r="T19" s="3" t="s">
        <v>24</v>
      </c>
      <c r="U19" s="3" t="s">
        <v>32</v>
      </c>
      <c r="V19" s="3" t="s">
        <v>32</v>
      </c>
      <c r="W19" s="3" t="s">
        <v>32</v>
      </c>
      <c r="X19" s="3" t="s">
        <v>32</v>
      </c>
      <c r="Y19" s="3" t="s">
        <v>33</v>
      </c>
      <c r="Z19" s="3" t="s">
        <v>33</v>
      </c>
      <c r="AA19" s="3" t="s">
        <v>40</v>
      </c>
      <c r="AC19" s="18" t="s">
        <v>71</v>
      </c>
      <c r="AD19" s="18" t="s">
        <v>73</v>
      </c>
      <c r="AE19" s="16" t="s">
        <v>66</v>
      </c>
      <c r="AF19" s="19" t="s">
        <v>65</v>
      </c>
      <c r="AG19" s="18">
        <v>90</v>
      </c>
      <c r="AH19" s="18" t="s">
        <v>59</v>
      </c>
      <c r="AI19" s="18"/>
    </row>
    <row r="20" spans="2:35" x14ac:dyDescent="0.45">
      <c r="B20" s="39" t="s">
        <v>7</v>
      </c>
      <c r="C20" s="39"/>
      <c r="D20" s="39"/>
      <c r="E20" s="39"/>
      <c r="F20" s="24">
        <f>COUNTIF(X3:X24,"Yes")</f>
        <v>10</v>
      </c>
      <c r="G20" s="24">
        <f>COUNTIF(X3:X24,"Yes")</f>
        <v>10</v>
      </c>
      <c r="H20" s="24">
        <f>COUNTIF(X3:X24,"Yes")</f>
        <v>10</v>
      </c>
      <c r="K20" s="39" t="s">
        <v>7</v>
      </c>
      <c r="L20" s="39"/>
      <c r="M20" s="39"/>
      <c r="N20" s="39"/>
      <c r="O20" s="24">
        <f>COUNTIF(W3:W24,"Yes")</f>
        <v>8</v>
      </c>
      <c r="P20" s="24">
        <f>COUNTIF(W3:W24,"Yes")</f>
        <v>8</v>
      </c>
      <c r="Q20" s="24">
        <f>COUNTIF(W3:W24,"Yes")</f>
        <v>8</v>
      </c>
      <c r="S20" s="23"/>
      <c r="T20" s="3" t="s">
        <v>27</v>
      </c>
      <c r="U20" s="3" t="s">
        <v>32</v>
      </c>
      <c r="V20" s="3" t="s">
        <v>33</v>
      </c>
      <c r="W20" s="3" t="s">
        <v>32</v>
      </c>
      <c r="X20" s="3" t="s">
        <v>33</v>
      </c>
      <c r="Y20" s="3" t="s">
        <v>32</v>
      </c>
      <c r="Z20" s="3" t="s">
        <v>33</v>
      </c>
      <c r="AA20" s="3" t="s">
        <v>42</v>
      </c>
      <c r="AC20" s="18" t="s">
        <v>70</v>
      </c>
      <c r="AD20" s="18" t="s">
        <v>73</v>
      </c>
      <c r="AE20" s="16" t="s">
        <v>66</v>
      </c>
      <c r="AF20" s="19" t="s">
        <v>65</v>
      </c>
      <c r="AG20" s="18">
        <v>90</v>
      </c>
      <c r="AH20" s="18" t="s">
        <v>59</v>
      </c>
      <c r="AI20" s="18" t="s">
        <v>32</v>
      </c>
    </row>
    <row r="21" spans="2:35" x14ac:dyDescent="0.45">
      <c r="B21" s="39" t="s">
        <v>8</v>
      </c>
      <c r="C21" s="39"/>
      <c r="D21" s="39"/>
      <c r="E21" s="39"/>
      <c r="F21" s="10">
        <f>F19/F20</f>
        <v>1955</v>
      </c>
      <c r="G21" s="10">
        <f>G19/G20</f>
        <v>2245</v>
      </c>
      <c r="H21" s="10">
        <f>H19/H20</f>
        <v>1666</v>
      </c>
      <c r="K21" s="39" t="s">
        <v>8</v>
      </c>
      <c r="L21" s="39"/>
      <c r="M21" s="39"/>
      <c r="N21" s="39"/>
      <c r="O21" s="10">
        <f>O19/O20</f>
        <v>1287.5</v>
      </c>
      <c r="P21" s="10">
        <f>P19/P20</f>
        <v>1475</v>
      </c>
      <c r="Q21" s="10">
        <f>Q19/Q20</f>
        <v>1156.25</v>
      </c>
      <c r="S21" s="23"/>
      <c r="T21" s="6" t="s">
        <v>28</v>
      </c>
      <c r="U21" s="6" t="s">
        <v>32</v>
      </c>
      <c r="V21" s="6" t="s">
        <v>33</v>
      </c>
      <c r="W21" s="6" t="s">
        <v>32</v>
      </c>
      <c r="X21" s="6" t="s">
        <v>33</v>
      </c>
      <c r="Y21" s="6" t="s">
        <v>32</v>
      </c>
      <c r="Z21" s="6" t="s">
        <v>33</v>
      </c>
      <c r="AA21" s="6" t="s">
        <v>41</v>
      </c>
      <c r="AC21" s="15" t="s">
        <v>68</v>
      </c>
      <c r="AD21" s="15" t="s">
        <v>81</v>
      </c>
      <c r="AE21" s="13" t="s">
        <v>66</v>
      </c>
      <c r="AF21" s="15" t="s">
        <v>65</v>
      </c>
      <c r="AG21" s="15">
        <v>90</v>
      </c>
      <c r="AH21" s="15" t="s">
        <v>59</v>
      </c>
      <c r="AI21" s="15" t="s">
        <v>32</v>
      </c>
    </row>
    <row r="22" spans="2:35" x14ac:dyDescent="0.45">
      <c r="B22" s="40" t="s">
        <v>94</v>
      </c>
      <c r="C22" s="41"/>
      <c r="D22" s="41"/>
      <c r="E22" s="41"/>
      <c r="F22" s="41"/>
      <c r="G22" s="42"/>
      <c r="H22" s="10">
        <f>F21-H21</f>
        <v>289</v>
      </c>
      <c r="K22" s="40" t="s">
        <v>94</v>
      </c>
      <c r="L22" s="41"/>
      <c r="M22" s="41"/>
      <c r="N22" s="41"/>
      <c r="O22" s="41"/>
      <c r="P22" s="42"/>
      <c r="Q22" s="10">
        <f>O21-Q21</f>
        <v>131.25</v>
      </c>
      <c r="T22" s="6" t="s">
        <v>68</v>
      </c>
      <c r="U22" s="6" t="s">
        <v>82</v>
      </c>
      <c r="V22" s="6" t="s">
        <v>82</v>
      </c>
      <c r="W22" s="6" t="s">
        <v>82</v>
      </c>
      <c r="X22" s="6" t="s">
        <v>82</v>
      </c>
      <c r="Y22" s="6" t="s">
        <v>33</v>
      </c>
      <c r="Z22" s="6" t="s">
        <v>32</v>
      </c>
      <c r="AA22" s="6"/>
      <c r="AC22" s="15" t="s">
        <v>80</v>
      </c>
      <c r="AD22" s="15" t="s">
        <v>81</v>
      </c>
      <c r="AE22" s="13" t="s">
        <v>66</v>
      </c>
      <c r="AF22" s="15" t="s">
        <v>65</v>
      </c>
      <c r="AG22" s="15">
        <v>80</v>
      </c>
      <c r="AH22" s="15" t="s">
        <v>59</v>
      </c>
      <c r="AI22" s="15" t="s">
        <v>61</v>
      </c>
    </row>
    <row r="23" spans="2:35" x14ac:dyDescent="0.45">
      <c r="T23" s="6" t="s">
        <v>84</v>
      </c>
      <c r="U23" s="6" t="s">
        <v>82</v>
      </c>
      <c r="V23" s="6" t="s">
        <v>82</v>
      </c>
      <c r="W23" s="6" t="s">
        <v>82</v>
      </c>
      <c r="X23" s="6" t="s">
        <v>82</v>
      </c>
      <c r="Y23" s="6" t="s">
        <v>33</v>
      </c>
      <c r="Z23" s="6" t="s">
        <v>32</v>
      </c>
      <c r="AA23" s="6"/>
      <c r="AC23" s="15" t="s">
        <v>19</v>
      </c>
      <c r="AD23" s="15" t="s">
        <v>81</v>
      </c>
      <c r="AE23" s="15" t="s">
        <v>66</v>
      </c>
      <c r="AF23" s="15" t="s">
        <v>65</v>
      </c>
      <c r="AG23" s="15">
        <v>-1000</v>
      </c>
      <c r="AH23" s="15" t="s">
        <v>82</v>
      </c>
      <c r="AI23" s="15" t="s">
        <v>82</v>
      </c>
    </row>
    <row r="24" spans="2:35" ht="14.65" thickBot="1" x14ac:dyDescent="0.5">
      <c r="T24" s="6" t="s">
        <v>85</v>
      </c>
      <c r="U24" s="6" t="s">
        <v>82</v>
      </c>
      <c r="V24" s="6" t="s">
        <v>82</v>
      </c>
      <c r="W24" s="6" t="s">
        <v>82</v>
      </c>
      <c r="X24" s="6" t="s">
        <v>82</v>
      </c>
      <c r="Y24" s="6" t="s">
        <v>33</v>
      </c>
      <c r="Z24" s="6" t="s">
        <v>32</v>
      </c>
      <c r="AA24" s="6"/>
      <c r="AC24" s="15" t="s">
        <v>22</v>
      </c>
      <c r="AD24" s="15" t="s">
        <v>81</v>
      </c>
      <c r="AE24" s="15" t="s">
        <v>66</v>
      </c>
      <c r="AF24" s="15" t="s">
        <v>65</v>
      </c>
      <c r="AG24" s="15">
        <v>-600</v>
      </c>
      <c r="AH24" s="15" t="s">
        <v>82</v>
      </c>
      <c r="AI24" s="15" t="s">
        <v>82</v>
      </c>
    </row>
    <row r="25" spans="2:35" ht="15" thickTop="1" thickBot="1" x14ac:dyDescent="0.5">
      <c r="T25" s="5" t="s">
        <v>34</v>
      </c>
      <c r="U25" s="7">
        <f t="shared" ref="U25:Z25" si="0">COUNTIF(U3:U24,"Yes")</f>
        <v>7</v>
      </c>
      <c r="V25" s="7">
        <f t="shared" si="0"/>
        <v>11</v>
      </c>
      <c r="W25" s="21">
        <f t="shared" si="0"/>
        <v>8</v>
      </c>
      <c r="X25" s="21">
        <f t="shared" si="0"/>
        <v>10</v>
      </c>
      <c r="Y25" s="7">
        <f t="shared" si="0"/>
        <v>7</v>
      </c>
      <c r="Z25" s="7">
        <f t="shared" si="0"/>
        <v>11</v>
      </c>
      <c r="AA25" s="22" t="s">
        <v>45</v>
      </c>
      <c r="AC25" s="18" t="s">
        <v>88</v>
      </c>
      <c r="AD25" s="18" t="s">
        <v>89</v>
      </c>
      <c r="AE25" s="16" t="s">
        <v>66</v>
      </c>
      <c r="AF25" s="18" t="s">
        <v>65</v>
      </c>
      <c r="AG25" s="18">
        <v>80</v>
      </c>
      <c r="AH25" s="18"/>
      <c r="AI25" s="18"/>
    </row>
    <row r="26" spans="2:35" ht="14.65" thickTop="1" x14ac:dyDescent="0.45">
      <c r="AC26" s="18" t="s">
        <v>68</v>
      </c>
      <c r="AD26" s="18" t="s">
        <v>89</v>
      </c>
      <c r="AE26" s="16" t="s">
        <v>66</v>
      </c>
      <c r="AF26" s="18" t="s">
        <v>65</v>
      </c>
      <c r="AG26" s="18">
        <v>80</v>
      </c>
      <c r="AH26" s="18"/>
      <c r="AI26" s="18"/>
    </row>
    <row r="27" spans="2:35" ht="18" x14ac:dyDescent="0.45">
      <c r="B27" s="43" t="s">
        <v>86</v>
      </c>
      <c r="C27" s="44"/>
      <c r="D27" s="44"/>
      <c r="E27" s="44"/>
      <c r="F27" s="44"/>
      <c r="G27" s="44"/>
      <c r="H27" s="45"/>
      <c r="I27" s="8"/>
      <c r="K27" s="49" t="s">
        <v>87</v>
      </c>
      <c r="L27" s="49"/>
      <c r="M27" s="49"/>
      <c r="N27" s="49"/>
      <c r="O27" s="49"/>
      <c r="P27" s="49"/>
      <c r="Q27" s="49"/>
      <c r="AC27" s="15" t="s">
        <v>88</v>
      </c>
      <c r="AD27" s="15" t="s">
        <v>90</v>
      </c>
      <c r="AE27" s="13" t="s">
        <v>66</v>
      </c>
      <c r="AF27" s="15" t="s">
        <v>65</v>
      </c>
      <c r="AG27" s="15">
        <v>80</v>
      </c>
      <c r="AH27" s="15"/>
      <c r="AI27" s="15"/>
    </row>
    <row r="28" spans="2:35" ht="18" x14ac:dyDescent="0.45">
      <c r="B28" s="46"/>
      <c r="C28" s="47"/>
      <c r="D28" s="47"/>
      <c r="E28" s="47"/>
      <c r="F28" s="47"/>
      <c r="G28" s="47"/>
      <c r="H28" s="48"/>
      <c r="I28" s="8"/>
      <c r="K28" s="49"/>
      <c r="L28" s="49"/>
      <c r="M28" s="49"/>
      <c r="N28" s="49"/>
      <c r="O28" s="49"/>
      <c r="P28" s="49"/>
      <c r="Q28" s="49"/>
      <c r="AC28" s="15" t="s">
        <v>68</v>
      </c>
      <c r="AD28" s="15" t="s">
        <v>90</v>
      </c>
      <c r="AE28" s="13" t="s">
        <v>66</v>
      </c>
      <c r="AF28" s="15" t="s">
        <v>65</v>
      </c>
      <c r="AG28" s="15">
        <v>80</v>
      </c>
      <c r="AH28" s="15"/>
      <c r="AI28" s="15"/>
    </row>
    <row r="29" spans="2:35" x14ac:dyDescent="0.45">
      <c r="B29" s="1" t="s">
        <v>2</v>
      </c>
      <c r="C29" s="1" t="s">
        <v>0</v>
      </c>
      <c r="D29" s="1" t="s">
        <v>49</v>
      </c>
      <c r="E29" s="1" t="s">
        <v>1</v>
      </c>
      <c r="F29" s="1" t="s">
        <v>93</v>
      </c>
      <c r="G29" s="1" t="s">
        <v>50</v>
      </c>
      <c r="H29" s="1" t="s">
        <v>79</v>
      </c>
      <c r="I29" s="9"/>
      <c r="K29" s="1" t="s">
        <v>2</v>
      </c>
      <c r="L29" s="1" t="s">
        <v>0</v>
      </c>
      <c r="M29" s="1" t="s">
        <v>49</v>
      </c>
      <c r="N29" s="1" t="s">
        <v>1</v>
      </c>
      <c r="O29" s="1" t="s">
        <v>93</v>
      </c>
      <c r="P29" s="1" t="s">
        <v>50</v>
      </c>
      <c r="Q29" s="1" t="s">
        <v>79</v>
      </c>
      <c r="AC29" s="18" t="s">
        <v>68</v>
      </c>
      <c r="AD29" s="18" t="s">
        <v>91</v>
      </c>
      <c r="AE29" s="16" t="s">
        <v>66</v>
      </c>
      <c r="AF29" s="18" t="s">
        <v>65</v>
      </c>
      <c r="AG29" s="18">
        <v>80</v>
      </c>
      <c r="AH29" s="18"/>
      <c r="AI29" s="18"/>
    </row>
    <row r="30" spans="2:35" x14ac:dyDescent="0.45">
      <c r="B30" s="10" t="s">
        <v>4</v>
      </c>
      <c r="C30" s="10">
        <v>8200</v>
      </c>
      <c r="D30" s="10">
        <v>9500</v>
      </c>
      <c r="E30" s="10">
        <v>2</v>
      </c>
      <c r="F30" s="10">
        <f>C30*E30</f>
        <v>16400</v>
      </c>
      <c r="G30" s="10">
        <f>D30*E30</f>
        <v>19000</v>
      </c>
      <c r="H30" s="10">
        <v>19000</v>
      </c>
      <c r="K30" s="10" t="s">
        <v>4</v>
      </c>
      <c r="L30" s="10">
        <v>8200</v>
      </c>
      <c r="M30" s="10">
        <v>9500</v>
      </c>
      <c r="N30" s="10">
        <v>1</v>
      </c>
      <c r="O30" s="10">
        <f>L30*N30</f>
        <v>8200</v>
      </c>
      <c r="P30" s="10">
        <f>M30*N30</f>
        <v>9500</v>
      </c>
      <c r="Q30" s="10">
        <v>9500</v>
      </c>
      <c r="AC30" s="18" t="s">
        <v>88</v>
      </c>
      <c r="AD30" s="18" t="s">
        <v>91</v>
      </c>
      <c r="AE30" s="16" t="s">
        <v>66</v>
      </c>
      <c r="AF30" s="18" t="s">
        <v>65</v>
      </c>
      <c r="AG30" s="18">
        <v>80</v>
      </c>
      <c r="AH30" s="18"/>
      <c r="AI30" s="18"/>
    </row>
    <row r="31" spans="2:35" x14ac:dyDescent="0.45">
      <c r="B31" s="10" t="s">
        <v>5</v>
      </c>
      <c r="C31" s="10">
        <v>1050</v>
      </c>
      <c r="D31" s="10">
        <v>1150</v>
      </c>
      <c r="E31" s="10">
        <v>2</v>
      </c>
      <c r="F31" s="10">
        <f>C31*E31</f>
        <v>2100</v>
      </c>
      <c r="G31" s="10">
        <f>D31*E31</f>
        <v>2300</v>
      </c>
      <c r="H31" s="10">
        <v>2300</v>
      </c>
      <c r="K31" s="10" t="s">
        <v>5</v>
      </c>
      <c r="L31" s="10">
        <v>1050</v>
      </c>
      <c r="M31" s="10">
        <v>1150</v>
      </c>
      <c r="N31" s="10">
        <v>1</v>
      </c>
      <c r="O31" s="10">
        <f>L31*N31</f>
        <v>1050</v>
      </c>
      <c r="P31" s="10">
        <f>M31*N31</f>
        <v>1150</v>
      </c>
      <c r="Q31" s="10">
        <v>1150</v>
      </c>
    </row>
    <row r="32" spans="2:35" x14ac:dyDescent="0.45">
      <c r="B32" s="39" t="s">
        <v>6</v>
      </c>
      <c r="C32" s="39"/>
      <c r="D32" s="39"/>
      <c r="E32" s="39"/>
      <c r="F32" s="10">
        <f>SUM(F30:F31)</f>
        <v>18500</v>
      </c>
      <c r="G32" s="10">
        <f>SUM(G30:G31)</f>
        <v>21300</v>
      </c>
      <c r="H32" s="10" cm="1">
        <f t="array" ref="H32">SUM(H30:H31) -  SUMPRODUCT(((AE15:AE113&amp;" "&amp;AF15:AF113)=B27)*AG15:AG113)</f>
        <v>21300</v>
      </c>
      <c r="K32" s="39" t="s">
        <v>6</v>
      </c>
      <c r="L32" s="39"/>
      <c r="M32" s="39"/>
      <c r="N32" s="39"/>
      <c r="O32" s="10">
        <f>SUM(O30:O31)</f>
        <v>9250</v>
      </c>
      <c r="P32" s="10" cm="1">
        <f t="array" ref="P32">SUM(P30:P31) - SUMPRODUCT(((AE15:AE113&amp;" "&amp;AF15:AF113)=K27)*AG15:AG113)</f>
        <v>10650</v>
      </c>
      <c r="Q32" s="10" cm="1">
        <f t="array" ref="Q32">SUM(Q30:Q31) -  SUMPRODUCT(((AN15:AN113&amp;" "&amp;AO15:AO113)=K27)*AP15:AP113)</f>
        <v>10650</v>
      </c>
    </row>
    <row r="33" spans="2:17" x14ac:dyDescent="0.45">
      <c r="B33" s="39" t="s">
        <v>7</v>
      </c>
      <c r="C33" s="39"/>
      <c r="D33" s="39"/>
      <c r="E33" s="39"/>
      <c r="F33" s="24">
        <f>COUNTIF(Z3:Z24,"Yes")</f>
        <v>11</v>
      </c>
      <c r="G33" s="24">
        <f>COUNTIF(Z3:Z24,"Yes")</f>
        <v>11</v>
      </c>
      <c r="H33" s="24">
        <f>COUNTIF(Z3:Z24,"Yes")</f>
        <v>11</v>
      </c>
      <c r="K33" s="39" t="s">
        <v>7</v>
      </c>
      <c r="L33" s="39"/>
      <c r="M33" s="39"/>
      <c r="N33" s="39"/>
      <c r="O33" s="24">
        <f>COUNTIF(Y3:Y24,"Yes")</f>
        <v>7</v>
      </c>
      <c r="P33" s="24">
        <f>COUNTIF(Y3:Y24,"Yes")</f>
        <v>7</v>
      </c>
      <c r="Q33" s="24">
        <f>COUNTIF(Y3:Y24,"Yes")</f>
        <v>7</v>
      </c>
    </row>
    <row r="34" spans="2:17" x14ac:dyDescent="0.45">
      <c r="B34" s="39" t="s">
        <v>8</v>
      </c>
      <c r="C34" s="39"/>
      <c r="D34" s="39"/>
      <c r="E34" s="39"/>
      <c r="F34" s="10">
        <f>F32/F33</f>
        <v>1681.8181818181818</v>
      </c>
      <c r="G34" s="10">
        <f>G32/G33</f>
        <v>1936.3636363636363</v>
      </c>
      <c r="H34" s="10">
        <f>H32/H33</f>
        <v>1936.3636363636363</v>
      </c>
      <c r="K34" s="39" t="s">
        <v>8</v>
      </c>
      <c r="L34" s="39"/>
      <c r="M34" s="39"/>
      <c r="N34" s="39"/>
      <c r="O34" s="10">
        <f>O32/O33</f>
        <v>1321.4285714285713</v>
      </c>
      <c r="P34" s="10">
        <f>P32/P33</f>
        <v>1521.4285714285713</v>
      </c>
      <c r="Q34" s="10">
        <f>Q32/Q33</f>
        <v>1521.4285714285713</v>
      </c>
    </row>
    <row r="35" spans="2:17" x14ac:dyDescent="0.45">
      <c r="B35" s="40" t="s">
        <v>94</v>
      </c>
      <c r="C35" s="41"/>
      <c r="D35" s="41"/>
      <c r="E35" s="41"/>
      <c r="F35" s="41"/>
      <c r="G35" s="42"/>
      <c r="H35" s="10">
        <f>IF(G34=H34,0,F34-H34)</f>
        <v>0</v>
      </c>
      <c r="K35" s="40" t="s">
        <v>94</v>
      </c>
      <c r="L35" s="41"/>
      <c r="M35" s="41"/>
      <c r="N35" s="41"/>
      <c r="O35" s="41"/>
      <c r="P35" s="42"/>
      <c r="Q35" s="10">
        <f>IF(P34=Q34,0,O34-Q34)</f>
        <v>0</v>
      </c>
    </row>
  </sheetData>
  <mergeCells count="33">
    <mergeCell ref="B14:H15"/>
    <mergeCell ref="B22:G22"/>
    <mergeCell ref="K22:P22"/>
    <mergeCell ref="K14:Q15"/>
    <mergeCell ref="B19:E19"/>
    <mergeCell ref="B20:E20"/>
    <mergeCell ref="B21:E21"/>
    <mergeCell ref="K19:N19"/>
    <mergeCell ref="K20:N20"/>
    <mergeCell ref="K21:N21"/>
    <mergeCell ref="W1:X1"/>
    <mergeCell ref="T1:T2"/>
    <mergeCell ref="AA1:AA2"/>
    <mergeCell ref="B7:D7"/>
    <mergeCell ref="B8:D8"/>
    <mergeCell ref="U1:V1"/>
    <mergeCell ref="Y1:Z1"/>
    <mergeCell ref="B9:D9"/>
    <mergeCell ref="B2:E3"/>
    <mergeCell ref="K2:N3"/>
    <mergeCell ref="K7:M7"/>
    <mergeCell ref="K8:M8"/>
    <mergeCell ref="K9:M9"/>
    <mergeCell ref="B34:E34"/>
    <mergeCell ref="K34:N34"/>
    <mergeCell ref="B35:G35"/>
    <mergeCell ref="K35:P35"/>
    <mergeCell ref="B27:H28"/>
    <mergeCell ref="K27:Q28"/>
    <mergeCell ref="B32:E32"/>
    <mergeCell ref="K32:N32"/>
    <mergeCell ref="B33:E33"/>
    <mergeCell ref="K33:N33"/>
  </mergeCells>
  <phoneticPr fontId="3" type="noConversion"/>
  <dataValidations count="1">
    <dataValidation type="list" allowBlank="1" showInputMessage="1" showErrorMessage="1" sqref="AF2:AF1048576" xr:uid="{22377C45-E2C8-4F62-B275-27AD7606F6E9}">
      <formula1>"8AM-9AM,7AM-8AM"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EE30-DB71-49F9-84FA-8899B4710C6B}">
  <dimension ref="A1:AD73"/>
  <sheetViews>
    <sheetView tabSelected="1" zoomScale="93" workbookViewId="0">
      <pane ySplit="1" topLeftCell="A2" activePane="bottomLeft" state="frozen"/>
      <selection pane="bottomLeft" activeCell="M25" sqref="M25"/>
    </sheetView>
  </sheetViews>
  <sheetFormatPr defaultRowHeight="14.25" x14ac:dyDescent="0.45"/>
  <cols>
    <col min="1" max="1" width="16.19921875" style="2" bestFit="1" customWidth="1"/>
    <col min="2" max="2" width="4.86328125" style="2" bestFit="1" customWidth="1"/>
    <col min="3" max="3" width="6.19921875" style="11" bestFit="1" customWidth="1"/>
    <col min="4" max="4" width="4.73046875" style="11" bestFit="1" customWidth="1"/>
    <col min="5" max="5" width="8.46484375" style="11" bestFit="1" customWidth="1"/>
    <col min="6" max="6" width="5.33203125" style="2" bestFit="1" customWidth="1"/>
    <col min="7" max="7" width="11.9296875" style="2" bestFit="1" customWidth="1"/>
    <col min="8" max="8" width="14.86328125" style="2" bestFit="1" customWidth="1"/>
    <col min="9" max="9" width="9.06640625" style="38"/>
    <col min="10" max="10" width="14.86328125" style="2" bestFit="1" customWidth="1"/>
    <col min="11" max="11" width="6.19921875" style="2" bestFit="1" customWidth="1"/>
    <col min="12" max="12" width="4.73046875" style="2" bestFit="1" customWidth="1"/>
    <col min="13" max="13" width="8.46484375" style="2" bestFit="1" customWidth="1"/>
    <col min="14" max="14" width="21.6640625" style="2" bestFit="1" customWidth="1"/>
    <col min="15" max="15" width="18.19921875" style="2" bestFit="1" customWidth="1"/>
    <col min="16" max="16" width="17.265625" style="2" bestFit="1" customWidth="1"/>
    <col min="17" max="17" width="13.796875" style="2" bestFit="1" customWidth="1"/>
    <col min="18" max="18" width="25.6640625" style="2" bestFit="1" customWidth="1"/>
    <col min="19" max="19" width="22.19921875" style="2" bestFit="1" customWidth="1"/>
    <col min="20" max="20" width="30.59765625" style="2" bestFit="1" customWidth="1"/>
    <col min="21" max="21" width="21.1328125" style="2" bestFit="1" customWidth="1"/>
    <col min="22" max="22" width="11.6640625" style="2" bestFit="1" customWidth="1"/>
    <col min="23" max="23" width="14.46484375" style="2" bestFit="1" customWidth="1"/>
    <col min="24" max="24" width="18.73046875" style="2" bestFit="1" customWidth="1"/>
    <col min="25" max="25" width="9.1328125" style="38" customWidth="1"/>
    <col min="26" max="26" width="15" style="2" bestFit="1" customWidth="1"/>
    <col min="27" max="27" width="8.46484375" style="2" bestFit="1" customWidth="1"/>
    <col min="28" max="28" width="6.19921875" style="2" bestFit="1" customWidth="1"/>
    <col min="29" max="29" width="4.73046875" style="2" bestFit="1" customWidth="1"/>
    <col min="30" max="30" width="6.19921875" style="2" bestFit="1" customWidth="1"/>
  </cols>
  <sheetData>
    <row r="1" spans="1:30" s="25" customFormat="1" x14ac:dyDescent="0.45">
      <c r="A1" s="1" t="s">
        <v>52</v>
      </c>
      <c r="B1" s="1" t="s">
        <v>72</v>
      </c>
      <c r="C1" s="17" t="s">
        <v>53</v>
      </c>
      <c r="D1" s="17" t="s">
        <v>95</v>
      </c>
      <c r="E1" s="17" t="s">
        <v>64</v>
      </c>
      <c r="F1" s="1" t="s">
        <v>54</v>
      </c>
      <c r="G1" s="1" t="s">
        <v>58</v>
      </c>
      <c r="H1" s="1" t="s">
        <v>55</v>
      </c>
      <c r="I1" s="38"/>
      <c r="J1" s="1" t="s">
        <v>2</v>
      </c>
      <c r="K1" s="1" t="s">
        <v>53</v>
      </c>
      <c r="L1" s="1" t="s">
        <v>95</v>
      </c>
      <c r="M1" s="1" t="s">
        <v>96</v>
      </c>
      <c r="N1" s="1" t="s">
        <v>107</v>
      </c>
      <c r="O1" s="1" t="s">
        <v>101</v>
      </c>
      <c r="P1" s="1" t="s">
        <v>102</v>
      </c>
      <c r="Q1" s="1" t="s">
        <v>108</v>
      </c>
      <c r="R1" s="1" t="s">
        <v>109</v>
      </c>
      <c r="S1" s="1" t="s">
        <v>110</v>
      </c>
      <c r="T1" s="1" t="s">
        <v>122</v>
      </c>
      <c r="U1" s="1" t="s">
        <v>123</v>
      </c>
      <c r="V1" s="1" t="s">
        <v>124</v>
      </c>
      <c r="W1" s="1" t="s">
        <v>97</v>
      </c>
      <c r="X1" s="1" t="s">
        <v>111</v>
      </c>
      <c r="Y1" s="38"/>
      <c r="Z1" s="1" t="s">
        <v>106</v>
      </c>
      <c r="AA1" s="1" t="s">
        <v>96</v>
      </c>
      <c r="AB1" s="1" t="s">
        <v>53</v>
      </c>
      <c r="AC1" s="1" t="s">
        <v>95</v>
      </c>
      <c r="AD1" s="1" t="s">
        <v>116</v>
      </c>
    </row>
    <row r="2" spans="1:30" x14ac:dyDescent="0.45">
      <c r="A2" s="15" t="s">
        <v>56</v>
      </c>
      <c r="B2" s="15" t="s">
        <v>78</v>
      </c>
      <c r="C2" s="13" t="s">
        <v>29</v>
      </c>
      <c r="D2" s="13" t="s">
        <v>112</v>
      </c>
      <c r="E2" s="13" t="s">
        <v>65</v>
      </c>
      <c r="F2" s="15">
        <v>60</v>
      </c>
      <c r="G2" s="15" t="s">
        <v>59</v>
      </c>
      <c r="H2" s="15" t="s">
        <v>61</v>
      </c>
      <c r="J2" s="28" t="s">
        <v>98</v>
      </c>
      <c r="K2" s="28" t="s">
        <v>48</v>
      </c>
      <c r="L2" s="28">
        <v>2026</v>
      </c>
      <c r="M2" s="28" t="s">
        <v>100</v>
      </c>
      <c r="N2" s="28">
        <v>8200</v>
      </c>
      <c r="O2" s="28">
        <v>8200</v>
      </c>
      <c r="P2" s="28">
        <v>1</v>
      </c>
      <c r="Q2" s="28">
        <v>1</v>
      </c>
      <c r="R2" s="30">
        <f>SUM(N2*P2,N3*P3)</f>
        <v>10300</v>
      </c>
      <c r="S2" s="30">
        <f>SUM(O2*Q2,O3*Q3)</f>
        <v>10300</v>
      </c>
      <c r="T2" s="30">
        <f>R2-S2</f>
        <v>0</v>
      </c>
      <c r="U2" s="30">
        <f>SUMIFS(F:F,C:C,K2,D:D,L2,E:E,M2)</f>
        <v>0</v>
      </c>
      <c r="V2" s="30">
        <f>COUNTIFS(AB:AB,K2,AC:AC,L2,AA:AA,M2)</f>
        <v>7</v>
      </c>
      <c r="W2" s="36">
        <f>R2/COUNTIFS(AA:AA,M2,AB:AB,K2,AC:AC,L2)</f>
        <v>1471.4285714285713</v>
      </c>
      <c r="X2" s="30">
        <f>(R2-S2+SUMIFS(F:F,C:C,K2,D:D,L2,E:E,M2))/COUNTIFS(AB:AB,K2,AC:AC,L2,AA:AA,M2)</f>
        <v>0</v>
      </c>
      <c r="Z2" s="18" t="s">
        <v>83</v>
      </c>
      <c r="AA2" s="18" t="s">
        <v>100</v>
      </c>
      <c r="AB2" s="18" t="s">
        <v>48</v>
      </c>
      <c r="AC2" s="18">
        <v>2026</v>
      </c>
      <c r="AD2" s="26" t="s">
        <v>32</v>
      </c>
    </row>
    <row r="3" spans="1:30" x14ac:dyDescent="0.45">
      <c r="A3" s="15" t="s">
        <v>57</v>
      </c>
      <c r="B3" s="15" t="s">
        <v>78</v>
      </c>
      <c r="C3" s="13" t="s">
        <v>29</v>
      </c>
      <c r="D3" s="13" t="s">
        <v>112</v>
      </c>
      <c r="E3" s="13" t="s">
        <v>65</v>
      </c>
      <c r="F3" s="15">
        <v>60</v>
      </c>
      <c r="G3" s="15" t="s">
        <v>59</v>
      </c>
      <c r="H3" s="15" t="s">
        <v>60</v>
      </c>
      <c r="J3" s="28" t="s">
        <v>99</v>
      </c>
      <c r="K3" s="28" t="s">
        <v>48</v>
      </c>
      <c r="L3" s="28">
        <v>2026</v>
      </c>
      <c r="M3" s="28" t="s">
        <v>100</v>
      </c>
      <c r="N3" s="28">
        <v>1050</v>
      </c>
      <c r="O3" s="28">
        <v>1050</v>
      </c>
      <c r="P3" s="28">
        <v>2</v>
      </c>
      <c r="Q3" s="28">
        <v>2</v>
      </c>
      <c r="R3" s="31"/>
      <c r="S3" s="31"/>
      <c r="T3" s="31"/>
      <c r="U3" s="31"/>
      <c r="V3" s="31"/>
      <c r="W3" s="36"/>
      <c r="X3" s="31"/>
      <c r="Z3" s="18" t="s">
        <v>26</v>
      </c>
      <c r="AA3" s="18" t="s">
        <v>100</v>
      </c>
      <c r="AB3" s="18" t="s">
        <v>48</v>
      </c>
      <c r="AC3" s="18">
        <v>2026</v>
      </c>
      <c r="AD3" s="26" t="s">
        <v>32</v>
      </c>
    </row>
    <row r="4" spans="1:30" x14ac:dyDescent="0.45">
      <c r="A4" s="15" t="s">
        <v>62</v>
      </c>
      <c r="B4" s="15" t="s">
        <v>78</v>
      </c>
      <c r="C4" s="13" t="s">
        <v>29</v>
      </c>
      <c r="D4" s="13" t="s">
        <v>112</v>
      </c>
      <c r="E4" s="13" t="s">
        <v>65</v>
      </c>
      <c r="F4" s="15">
        <v>60</v>
      </c>
      <c r="G4" s="15" t="s">
        <v>59</v>
      </c>
      <c r="H4" s="15" t="s">
        <v>60</v>
      </c>
      <c r="J4" s="28" t="s">
        <v>98</v>
      </c>
      <c r="K4" s="28" t="s">
        <v>48</v>
      </c>
      <c r="L4" s="28">
        <v>2026</v>
      </c>
      <c r="M4" s="28" t="s">
        <v>65</v>
      </c>
      <c r="N4" s="28">
        <v>8200</v>
      </c>
      <c r="O4" s="28">
        <v>8200</v>
      </c>
      <c r="P4" s="28">
        <v>2</v>
      </c>
      <c r="Q4" s="28">
        <v>2</v>
      </c>
      <c r="R4" s="30">
        <f t="shared" ref="R4" si="0">SUM(N4*P4,N5*P5)</f>
        <v>19550</v>
      </c>
      <c r="S4" s="30">
        <f t="shared" ref="S4" si="1">SUM(O4*Q4,O5*Q5)</f>
        <v>19550</v>
      </c>
      <c r="T4" s="30">
        <f>R4-S4</f>
        <v>0</v>
      </c>
      <c r="U4" s="30">
        <f>SUMIFS(F:F,C:C,K4,D:D,L4,E:E,M4)</f>
        <v>0</v>
      </c>
      <c r="V4" s="30">
        <f t="shared" ref="V4" si="2">COUNTIFS(AB:AB,K4,AC:AC,L4,AA:AA,M4)</f>
        <v>11</v>
      </c>
      <c r="W4" s="36">
        <f t="shared" ref="W4" si="3">R4/COUNTIFS(AA:AA,M4,AB:AB,K4,AC:AC,L4)</f>
        <v>1777.2727272727273</v>
      </c>
      <c r="X4" s="30">
        <f>(R4-S4+SUMIFS(F:F,C:C,K4,D:D,L4,E:E,M4))/COUNTIFS(AB:AB,K4,AC:AC,L4,AA:AA,M4)</f>
        <v>0</v>
      </c>
      <c r="Z4" s="18" t="s">
        <v>16</v>
      </c>
      <c r="AA4" s="18" t="s">
        <v>100</v>
      </c>
      <c r="AB4" s="18" t="s">
        <v>48</v>
      </c>
      <c r="AC4" s="18">
        <v>2026</v>
      </c>
      <c r="AD4" s="26" t="s">
        <v>32</v>
      </c>
    </row>
    <row r="5" spans="1:30" x14ac:dyDescent="0.45">
      <c r="A5" s="18" t="s">
        <v>63</v>
      </c>
      <c r="B5" s="18" t="s">
        <v>77</v>
      </c>
      <c r="C5" s="16" t="s">
        <v>29</v>
      </c>
      <c r="D5" s="16" t="s">
        <v>112</v>
      </c>
      <c r="E5" s="16" t="s">
        <v>65</v>
      </c>
      <c r="F5" s="18">
        <v>80</v>
      </c>
      <c r="G5" s="18" t="s">
        <v>59</v>
      </c>
      <c r="H5" s="18" t="s">
        <v>60</v>
      </c>
      <c r="J5" s="28" t="s">
        <v>99</v>
      </c>
      <c r="K5" s="28" t="s">
        <v>48</v>
      </c>
      <c r="L5" s="28">
        <v>2026</v>
      </c>
      <c r="M5" s="28" t="s">
        <v>65</v>
      </c>
      <c r="N5" s="28">
        <v>1050</v>
      </c>
      <c r="O5" s="28">
        <v>1050</v>
      </c>
      <c r="P5" s="28">
        <v>3</v>
      </c>
      <c r="Q5" s="28">
        <v>3</v>
      </c>
      <c r="R5" s="31"/>
      <c r="S5" s="31"/>
      <c r="T5" s="31"/>
      <c r="U5" s="31"/>
      <c r="V5" s="31"/>
      <c r="W5" s="36"/>
      <c r="X5" s="31"/>
      <c r="Z5" s="18" t="s">
        <v>18</v>
      </c>
      <c r="AA5" s="18" t="s">
        <v>100</v>
      </c>
      <c r="AB5" s="18" t="s">
        <v>48</v>
      </c>
      <c r="AC5" s="18">
        <v>2026</v>
      </c>
      <c r="AD5" s="26" t="s">
        <v>32</v>
      </c>
    </row>
    <row r="6" spans="1:30" x14ac:dyDescent="0.45">
      <c r="A6" s="15" t="s">
        <v>57</v>
      </c>
      <c r="B6" s="15" t="s">
        <v>76</v>
      </c>
      <c r="C6" s="13" t="s">
        <v>29</v>
      </c>
      <c r="D6" s="13" t="s">
        <v>112</v>
      </c>
      <c r="E6" s="13" t="s">
        <v>65</v>
      </c>
      <c r="F6" s="15">
        <v>80</v>
      </c>
      <c r="G6" s="15" t="s">
        <v>59</v>
      </c>
      <c r="H6" s="15" t="s">
        <v>60</v>
      </c>
      <c r="J6" s="29" t="s">
        <v>98</v>
      </c>
      <c r="K6" s="29" t="s">
        <v>29</v>
      </c>
      <c r="L6" s="29">
        <v>2026</v>
      </c>
      <c r="M6" s="29" t="s">
        <v>100</v>
      </c>
      <c r="N6" s="29">
        <v>8200</v>
      </c>
      <c r="O6" s="29">
        <v>8200</v>
      </c>
      <c r="P6" s="29">
        <v>1</v>
      </c>
      <c r="Q6" s="29">
        <v>1</v>
      </c>
      <c r="R6" s="32">
        <f t="shared" ref="R6" si="4">SUM(N6*P6,N7*P7)</f>
        <v>10300</v>
      </c>
      <c r="S6" s="32">
        <f t="shared" ref="S6" si="5">SUM(O6*Q6,O7*Q7)</f>
        <v>9250</v>
      </c>
      <c r="T6" s="32">
        <f>R6-S6</f>
        <v>1050</v>
      </c>
      <c r="U6" s="32">
        <f>SUMIFS(F:F,C:C,K6,D:D,L6,E:E,M6)</f>
        <v>0</v>
      </c>
      <c r="V6" s="32">
        <f t="shared" ref="V6" si="6">COUNTIFS(AB:AB,K6,AC:AC,L6,AA:AA,M6)</f>
        <v>8</v>
      </c>
      <c r="W6" s="37">
        <f t="shared" ref="W6" si="7">R6/COUNTIFS(AA:AA,M6,AB:AB,K6,AC:AC,L6)</f>
        <v>1287.5</v>
      </c>
      <c r="X6" s="34">
        <f>(R6-S6+SUMIFS(F:F,C:C,K6,D:D,L6,E:E,M6))/COUNTIFS(AB:AB,K6,AC:AC,L6,AA:AA,M6)</f>
        <v>131.25</v>
      </c>
      <c r="Z6" s="18" t="s">
        <v>24</v>
      </c>
      <c r="AA6" s="18" t="s">
        <v>100</v>
      </c>
      <c r="AB6" s="18" t="s">
        <v>48</v>
      </c>
      <c r="AC6" s="18">
        <v>2026</v>
      </c>
      <c r="AD6" s="26" t="s">
        <v>32</v>
      </c>
    </row>
    <row r="7" spans="1:30" x14ac:dyDescent="0.45">
      <c r="A7" s="15" t="s">
        <v>27</v>
      </c>
      <c r="B7" s="15" t="s">
        <v>76</v>
      </c>
      <c r="C7" s="13" t="s">
        <v>29</v>
      </c>
      <c r="D7" s="13" t="s">
        <v>112</v>
      </c>
      <c r="E7" s="13" t="s">
        <v>65</v>
      </c>
      <c r="F7" s="15">
        <v>80</v>
      </c>
      <c r="G7" s="15" t="s">
        <v>59</v>
      </c>
      <c r="H7" s="15" t="s">
        <v>61</v>
      </c>
      <c r="J7" s="29" t="s">
        <v>99</v>
      </c>
      <c r="K7" s="29" t="s">
        <v>29</v>
      </c>
      <c r="L7" s="29">
        <v>2026</v>
      </c>
      <c r="M7" s="29" t="s">
        <v>100</v>
      </c>
      <c r="N7" s="29">
        <v>1050</v>
      </c>
      <c r="O7" s="29">
        <v>1050</v>
      </c>
      <c r="P7" s="29">
        <v>2</v>
      </c>
      <c r="Q7" s="29">
        <v>1</v>
      </c>
      <c r="R7" s="33"/>
      <c r="S7" s="33"/>
      <c r="T7" s="33"/>
      <c r="U7" s="33"/>
      <c r="V7" s="33"/>
      <c r="W7" s="37"/>
      <c r="X7" s="35"/>
      <c r="Z7" s="18" t="s">
        <v>27</v>
      </c>
      <c r="AA7" s="18" t="s">
        <v>100</v>
      </c>
      <c r="AB7" s="18" t="s">
        <v>48</v>
      </c>
      <c r="AC7" s="18">
        <v>2026</v>
      </c>
      <c r="AD7" s="26" t="s">
        <v>32</v>
      </c>
    </row>
    <row r="8" spans="1:30" x14ac:dyDescent="0.45">
      <c r="A8" s="15" t="s">
        <v>67</v>
      </c>
      <c r="B8" s="15" t="s">
        <v>76</v>
      </c>
      <c r="C8" s="13" t="s">
        <v>29</v>
      </c>
      <c r="D8" s="13" t="s">
        <v>112</v>
      </c>
      <c r="E8" s="13" t="s">
        <v>65</v>
      </c>
      <c r="F8" s="15">
        <v>100</v>
      </c>
      <c r="G8" s="15" t="s">
        <v>59</v>
      </c>
      <c r="H8" s="15" t="s">
        <v>60</v>
      </c>
      <c r="J8" s="29" t="s">
        <v>98</v>
      </c>
      <c r="K8" s="29" t="s">
        <v>29</v>
      </c>
      <c r="L8" s="29">
        <v>2026</v>
      </c>
      <c r="M8" s="29" t="s">
        <v>65</v>
      </c>
      <c r="N8" s="29">
        <v>8200</v>
      </c>
      <c r="O8" s="29">
        <v>8200</v>
      </c>
      <c r="P8" s="29">
        <v>2</v>
      </c>
      <c r="Q8" s="29">
        <v>2</v>
      </c>
      <c r="R8" s="32">
        <f t="shared" ref="R8" si="8">SUM(N8*P8,N9*P9)</f>
        <v>19550</v>
      </c>
      <c r="S8" s="32">
        <f t="shared" ref="S8" si="9">SUM(O8*Q8,O9*Q9)</f>
        <v>17450</v>
      </c>
      <c r="T8" s="32">
        <f t="shared" ref="T8" si="10">R8-S8</f>
        <v>2100</v>
      </c>
      <c r="U8" s="32">
        <f>SUMIFS(F:F,C:C,K8,D:D,L8,E:E,M8)</f>
        <v>1310</v>
      </c>
      <c r="V8" s="32">
        <f t="shared" ref="V8" si="11">COUNTIFS(AB:AB,K8,AC:AC,L8,AA:AA,M8)</f>
        <v>10</v>
      </c>
      <c r="W8" s="37">
        <f t="shared" ref="W8" si="12">R8/COUNTIFS(AA:AA,M8,AB:AB,K8,AC:AC,L8)</f>
        <v>1955</v>
      </c>
      <c r="X8" s="34">
        <f>(R8-S8+SUMIFS(F:F,C:C,K8,D:D,L8,E:E,M8))/COUNTIFS(AB:AB,K8,AC:AC,L8,AA:AA,M8)</f>
        <v>341</v>
      </c>
      <c r="Z8" s="18" t="s">
        <v>28</v>
      </c>
      <c r="AA8" s="18" t="s">
        <v>100</v>
      </c>
      <c r="AB8" s="18" t="s">
        <v>48</v>
      </c>
      <c r="AC8" s="18">
        <v>2026</v>
      </c>
      <c r="AD8" s="26" t="s">
        <v>32</v>
      </c>
    </row>
    <row r="9" spans="1:30" x14ac:dyDescent="0.45">
      <c r="A9" s="18" t="s">
        <v>67</v>
      </c>
      <c r="B9" s="18" t="s">
        <v>75</v>
      </c>
      <c r="C9" s="16" t="s">
        <v>29</v>
      </c>
      <c r="D9" s="16" t="s">
        <v>112</v>
      </c>
      <c r="E9" s="16" t="s">
        <v>65</v>
      </c>
      <c r="F9" s="18">
        <v>80</v>
      </c>
      <c r="G9" s="18" t="s">
        <v>59</v>
      </c>
      <c r="H9" s="18" t="s">
        <v>60</v>
      </c>
      <c r="J9" s="29" t="s">
        <v>99</v>
      </c>
      <c r="K9" s="29" t="s">
        <v>29</v>
      </c>
      <c r="L9" s="29">
        <v>2026</v>
      </c>
      <c r="M9" s="29" t="s">
        <v>65</v>
      </c>
      <c r="N9" s="29">
        <v>1050</v>
      </c>
      <c r="O9" s="29">
        <v>1050</v>
      </c>
      <c r="P9" s="29">
        <v>3</v>
      </c>
      <c r="Q9" s="29">
        <v>1</v>
      </c>
      <c r="R9" s="33"/>
      <c r="S9" s="33"/>
      <c r="T9" s="33"/>
      <c r="U9" s="33"/>
      <c r="V9" s="33"/>
      <c r="W9" s="37"/>
      <c r="X9" s="35"/>
      <c r="Z9" s="15" t="s">
        <v>83</v>
      </c>
      <c r="AA9" s="15" t="s">
        <v>65</v>
      </c>
      <c r="AB9" s="15" t="s">
        <v>48</v>
      </c>
      <c r="AC9" s="15">
        <v>2026</v>
      </c>
      <c r="AD9" s="26" t="s">
        <v>32</v>
      </c>
    </row>
    <row r="10" spans="1:30" x14ac:dyDescent="0.45">
      <c r="A10" s="18" t="s">
        <v>68</v>
      </c>
      <c r="B10" s="18" t="s">
        <v>75</v>
      </c>
      <c r="C10" s="16" t="s">
        <v>29</v>
      </c>
      <c r="D10" s="16" t="s">
        <v>112</v>
      </c>
      <c r="E10" s="16" t="s">
        <v>65</v>
      </c>
      <c r="F10" s="18">
        <v>80</v>
      </c>
      <c r="G10" s="18" t="s">
        <v>59</v>
      </c>
      <c r="H10" s="18" t="s">
        <v>32</v>
      </c>
      <c r="J10" s="28" t="s">
        <v>98</v>
      </c>
      <c r="K10" s="28" t="s">
        <v>51</v>
      </c>
      <c r="L10" s="28">
        <v>2026</v>
      </c>
      <c r="M10" s="28" t="s">
        <v>100</v>
      </c>
      <c r="N10" s="28">
        <v>9500</v>
      </c>
      <c r="O10" s="28">
        <v>8200</v>
      </c>
      <c r="P10" s="28">
        <v>1</v>
      </c>
      <c r="Q10" s="28">
        <v>1</v>
      </c>
      <c r="R10" s="30">
        <f t="shared" ref="R10" si="13">SUM(N10*P10,N11*P11)</f>
        <v>10650</v>
      </c>
      <c r="S10" s="30">
        <f t="shared" ref="S10" si="14">SUM(O10*Q10,O11*Q11)</f>
        <v>9300</v>
      </c>
      <c r="T10" s="30">
        <f t="shared" ref="T10" si="15">R10-S10</f>
        <v>1350</v>
      </c>
      <c r="U10" s="30">
        <f>SUMIFS(F:F,C:C,K10,D:D,L10,E:E,M10)</f>
        <v>1760</v>
      </c>
      <c r="V10" s="30">
        <f t="shared" ref="V10" si="16">COUNTIFS(AB:AB,K10,AC:AC,L10,AA:AA,M10)</f>
        <v>7</v>
      </c>
      <c r="W10" s="36">
        <f t="shared" ref="W10" si="17">R10/COUNTIFS(AA:AA,M10,AB:AB,K10,AC:AC,L10)</f>
        <v>1521.4285714285713</v>
      </c>
      <c r="X10" s="30">
        <f>(R10-S10+SUMIFS(F:F,C:C,K10,D:D,L10,E:E,M10))/COUNTIFS(AB:AB,K10,AC:AC,L10,AA:AA,M10)</f>
        <v>444.28571428571428</v>
      </c>
      <c r="Z10" s="15" t="s">
        <v>11</v>
      </c>
      <c r="AA10" s="15" t="s">
        <v>65</v>
      </c>
      <c r="AB10" s="15" t="s">
        <v>48</v>
      </c>
      <c r="AC10" s="15">
        <v>2026</v>
      </c>
      <c r="AD10" s="26" t="s">
        <v>32</v>
      </c>
    </row>
    <row r="11" spans="1:30" x14ac:dyDescent="0.45">
      <c r="A11" s="18" t="s">
        <v>27</v>
      </c>
      <c r="B11" s="18" t="s">
        <v>75</v>
      </c>
      <c r="C11" s="16" t="s">
        <v>29</v>
      </c>
      <c r="D11" s="16" t="s">
        <v>112</v>
      </c>
      <c r="E11" s="16" t="s">
        <v>65</v>
      </c>
      <c r="F11" s="18">
        <v>80</v>
      </c>
      <c r="G11" s="18" t="s">
        <v>59</v>
      </c>
      <c r="H11" s="18" t="s">
        <v>61</v>
      </c>
      <c r="J11" s="28" t="s">
        <v>99</v>
      </c>
      <c r="K11" s="28" t="s">
        <v>51</v>
      </c>
      <c r="L11" s="28">
        <v>2026</v>
      </c>
      <c r="M11" s="28" t="s">
        <v>100</v>
      </c>
      <c r="N11" s="28">
        <v>1150</v>
      </c>
      <c r="O11" s="28">
        <v>1100</v>
      </c>
      <c r="P11" s="28">
        <v>1</v>
      </c>
      <c r="Q11" s="28">
        <v>1</v>
      </c>
      <c r="R11" s="31"/>
      <c r="S11" s="31"/>
      <c r="T11" s="31"/>
      <c r="U11" s="31"/>
      <c r="V11" s="31"/>
      <c r="W11" s="36"/>
      <c r="X11" s="31"/>
      <c r="Z11" s="15" t="s">
        <v>12</v>
      </c>
      <c r="AA11" s="15" t="s">
        <v>65</v>
      </c>
      <c r="AB11" s="15" t="s">
        <v>48</v>
      </c>
      <c r="AC11" s="15">
        <v>2026</v>
      </c>
      <c r="AD11" s="26" t="s">
        <v>32</v>
      </c>
    </row>
    <row r="12" spans="1:30" x14ac:dyDescent="0.45">
      <c r="A12" s="18" t="s">
        <v>80</v>
      </c>
      <c r="B12" s="18" t="s">
        <v>75</v>
      </c>
      <c r="C12" s="16" t="s">
        <v>29</v>
      </c>
      <c r="D12" s="16" t="s">
        <v>112</v>
      </c>
      <c r="E12" s="16" t="s">
        <v>65</v>
      </c>
      <c r="F12" s="18">
        <v>80</v>
      </c>
      <c r="G12" s="18" t="s">
        <v>59</v>
      </c>
      <c r="H12" s="18"/>
      <c r="J12" s="28" t="s">
        <v>98</v>
      </c>
      <c r="K12" s="28" t="s">
        <v>51</v>
      </c>
      <c r="L12" s="28">
        <v>2026</v>
      </c>
      <c r="M12" s="28" t="s">
        <v>65</v>
      </c>
      <c r="N12" s="28">
        <v>9500</v>
      </c>
      <c r="O12" s="28">
        <v>8200</v>
      </c>
      <c r="P12" s="28">
        <v>2</v>
      </c>
      <c r="Q12" s="28">
        <v>2</v>
      </c>
      <c r="R12" s="30">
        <f t="shared" ref="R12" si="18">SUM(N12*P12,N13*P13)</f>
        <v>21300</v>
      </c>
      <c r="S12" s="30">
        <f t="shared" ref="S12" si="19">SUM(O12*Q12,O13*Q13)</f>
        <v>18600</v>
      </c>
      <c r="T12" s="30">
        <f t="shared" ref="T12" si="20">R12-S12</f>
        <v>2700</v>
      </c>
      <c r="U12" s="30">
        <f>SUMIFS(F:F,C:C,K12,D:D,L12,E:E,M12)</f>
        <v>1970</v>
      </c>
      <c r="V12" s="30">
        <f t="shared" ref="V12" si="21">COUNTIFS(AB:AB,K12,AC:AC,L12,AA:AA,M12)</f>
        <v>11</v>
      </c>
      <c r="W12" s="36">
        <f t="shared" ref="W12" si="22">R12/COUNTIFS(AA:AA,M12,AB:AB,K12,AC:AC,L12)</f>
        <v>1936.3636363636363</v>
      </c>
      <c r="X12" s="30">
        <f>(R12-S12+SUMIFS(F:F,C:C,K12,D:D,L12,E:E,M12))/COUNTIFS(AB:AB,K12,AC:AC,L12,AA:AA,M12)</f>
        <v>424.54545454545456</v>
      </c>
      <c r="Z12" s="15" t="s">
        <v>14</v>
      </c>
      <c r="AA12" s="15" t="s">
        <v>65</v>
      </c>
      <c r="AB12" s="15" t="s">
        <v>48</v>
      </c>
      <c r="AC12" s="15">
        <v>2026</v>
      </c>
      <c r="AD12" s="26" t="s">
        <v>32</v>
      </c>
    </row>
    <row r="13" spans="1:30" x14ac:dyDescent="0.45">
      <c r="A13" s="15" t="s">
        <v>69</v>
      </c>
      <c r="B13" s="15" t="s">
        <v>74</v>
      </c>
      <c r="C13" s="13" t="s">
        <v>29</v>
      </c>
      <c r="D13" s="13" t="s">
        <v>112</v>
      </c>
      <c r="E13" s="13" t="s">
        <v>65</v>
      </c>
      <c r="F13" s="15">
        <v>270</v>
      </c>
      <c r="G13" s="15" t="s">
        <v>59</v>
      </c>
      <c r="H13" s="15"/>
      <c r="J13" s="28" t="s">
        <v>99</v>
      </c>
      <c r="K13" s="28" t="s">
        <v>51</v>
      </c>
      <c r="L13" s="28">
        <v>2026</v>
      </c>
      <c r="M13" s="28" t="s">
        <v>65</v>
      </c>
      <c r="N13" s="28">
        <v>1150</v>
      </c>
      <c r="O13" s="28">
        <v>1100</v>
      </c>
      <c r="P13" s="28">
        <v>2</v>
      </c>
      <c r="Q13" s="28">
        <v>2</v>
      </c>
      <c r="R13" s="31"/>
      <c r="S13" s="31"/>
      <c r="T13" s="31"/>
      <c r="U13" s="31"/>
      <c r="V13" s="31"/>
      <c r="W13" s="36"/>
      <c r="X13" s="31"/>
      <c r="Z13" s="15" t="s">
        <v>16</v>
      </c>
      <c r="AA13" s="15" t="s">
        <v>65</v>
      </c>
      <c r="AB13" s="15" t="s">
        <v>48</v>
      </c>
      <c r="AC13" s="15">
        <v>2026</v>
      </c>
      <c r="AD13" s="26" t="s">
        <v>32</v>
      </c>
    </row>
    <row r="14" spans="1:30" x14ac:dyDescent="0.45">
      <c r="A14" s="15" t="s">
        <v>68</v>
      </c>
      <c r="B14" s="15" t="s">
        <v>74</v>
      </c>
      <c r="C14" s="13" t="s">
        <v>29</v>
      </c>
      <c r="D14" s="13" t="s">
        <v>112</v>
      </c>
      <c r="E14" s="13" t="s">
        <v>65</v>
      </c>
      <c r="F14" s="15">
        <v>90</v>
      </c>
      <c r="G14" s="15" t="s">
        <v>59</v>
      </c>
      <c r="H14" s="15" t="s">
        <v>32</v>
      </c>
      <c r="J14" s="28" t="s">
        <v>98</v>
      </c>
      <c r="K14" s="28" t="s">
        <v>137</v>
      </c>
      <c r="L14" s="28">
        <v>2026</v>
      </c>
      <c r="M14" s="28" t="s">
        <v>100</v>
      </c>
      <c r="N14" s="28">
        <v>8200</v>
      </c>
      <c r="O14" s="28">
        <v>8200</v>
      </c>
      <c r="P14" s="28">
        <v>1</v>
      </c>
      <c r="Q14" s="28">
        <v>1</v>
      </c>
      <c r="R14" s="30">
        <f t="shared" ref="R14" si="23">SUM(N14*P14,N15*P15)</f>
        <v>9300</v>
      </c>
      <c r="S14" s="30">
        <f t="shared" ref="S14" si="24">SUM(O14*Q14,O15*Q15)</f>
        <v>9300</v>
      </c>
      <c r="T14" s="30">
        <f t="shared" ref="T14" si="25">R14-S14</f>
        <v>0</v>
      </c>
      <c r="U14" s="30">
        <f>SUMIFS(F:F,C:C,K14,D:D,L14,E:E,M14)</f>
        <v>0</v>
      </c>
      <c r="V14" s="30">
        <f t="shared" ref="V14" si="26">COUNTIFS(AB:AB,K14,AC:AC,L14,AA:AA,M14)</f>
        <v>7</v>
      </c>
      <c r="W14" s="36">
        <f>R14/COUNTIFS(AA:AA,M14,AB:AB,K14,AC:AC,L14)</f>
        <v>1328.5714285714287</v>
      </c>
      <c r="X14" s="30">
        <f>(R14-S14+SUMIFS(F:F,C:C,K14,D:D,L14,E:E,M14))/COUNTIFS(AB:AB,K14,AC:AC,L14,AA:AA,M14)</f>
        <v>0</v>
      </c>
      <c r="Z14" s="15" t="s">
        <v>17</v>
      </c>
      <c r="AA14" s="15" t="s">
        <v>65</v>
      </c>
      <c r="AB14" s="15" t="s">
        <v>48</v>
      </c>
      <c r="AC14" s="15">
        <v>2026</v>
      </c>
      <c r="AD14" s="26" t="s">
        <v>32</v>
      </c>
    </row>
    <row r="15" spans="1:30" x14ac:dyDescent="0.45">
      <c r="A15" s="15" t="s">
        <v>80</v>
      </c>
      <c r="B15" s="15" t="s">
        <v>74</v>
      </c>
      <c r="C15" s="13" t="s">
        <v>29</v>
      </c>
      <c r="D15" s="13" t="s">
        <v>112</v>
      </c>
      <c r="E15" s="13" t="s">
        <v>65</v>
      </c>
      <c r="F15" s="15">
        <v>90</v>
      </c>
      <c r="G15" s="15" t="s">
        <v>59</v>
      </c>
      <c r="H15" s="15"/>
      <c r="J15" s="28" t="s">
        <v>99</v>
      </c>
      <c r="K15" s="28" t="s">
        <v>137</v>
      </c>
      <c r="L15" s="28">
        <v>2026</v>
      </c>
      <c r="M15" s="28" t="s">
        <v>100</v>
      </c>
      <c r="N15" s="28">
        <v>1100</v>
      </c>
      <c r="O15" s="28">
        <v>1100</v>
      </c>
      <c r="P15" s="28">
        <v>1</v>
      </c>
      <c r="Q15" s="28">
        <v>1</v>
      </c>
      <c r="R15" s="31"/>
      <c r="S15" s="31"/>
      <c r="T15" s="31"/>
      <c r="U15" s="31"/>
      <c r="V15" s="31"/>
      <c r="W15" s="36"/>
      <c r="X15" s="31"/>
      <c r="Z15" s="15" t="s">
        <v>18</v>
      </c>
      <c r="AA15" s="15" t="s">
        <v>65</v>
      </c>
      <c r="AB15" s="15" t="s">
        <v>48</v>
      </c>
      <c r="AC15" s="15">
        <v>2026</v>
      </c>
      <c r="AD15" s="26" t="s">
        <v>32</v>
      </c>
    </row>
    <row r="16" spans="1:30" x14ac:dyDescent="0.45">
      <c r="A16" s="15" t="s">
        <v>70</v>
      </c>
      <c r="B16" s="15" t="s">
        <v>74</v>
      </c>
      <c r="C16" s="13" t="s">
        <v>29</v>
      </c>
      <c r="D16" s="13" t="s">
        <v>112</v>
      </c>
      <c r="E16" s="13" t="s">
        <v>65</v>
      </c>
      <c r="F16" s="15">
        <v>90</v>
      </c>
      <c r="G16" s="15" t="s">
        <v>59</v>
      </c>
      <c r="H16" s="15" t="s">
        <v>32</v>
      </c>
      <c r="J16" s="28" t="s">
        <v>98</v>
      </c>
      <c r="K16" s="28" t="s">
        <v>137</v>
      </c>
      <c r="L16" s="28">
        <v>2026</v>
      </c>
      <c r="M16" s="28" t="s">
        <v>65</v>
      </c>
      <c r="N16" s="28">
        <v>8200</v>
      </c>
      <c r="O16" s="28">
        <v>8200</v>
      </c>
      <c r="P16" s="28">
        <v>2</v>
      </c>
      <c r="Q16" s="28">
        <v>2</v>
      </c>
      <c r="R16" s="30">
        <f t="shared" ref="R16" si="27">SUM(N16*P16,N17*P17)</f>
        <v>18600</v>
      </c>
      <c r="S16" s="30">
        <f t="shared" ref="S16" si="28">SUM(O16*Q16,O17*Q17)</f>
        <v>18600</v>
      </c>
      <c r="T16" s="30">
        <f t="shared" ref="T16" si="29">R16-S16</f>
        <v>0</v>
      </c>
      <c r="U16" s="30">
        <f>SUMIFS(F:F,C:C,K16,D:D,L16,E:E,M16)</f>
        <v>0</v>
      </c>
      <c r="V16" s="30">
        <f t="shared" ref="V16" si="30">COUNTIFS(AB:AB,K16,AC:AC,L16,AA:AA,M16)</f>
        <v>11</v>
      </c>
      <c r="W16" s="36">
        <f t="shared" ref="W16" si="31">R16/COUNTIFS(AA:AA,M16,AB:AB,K16,AC:AC,L16)</f>
        <v>1690.909090909091</v>
      </c>
      <c r="X16" s="30">
        <f>(R16-S16+SUMIFS(F:F,C:C,K16,D:D,L16,E:E,M16))/COUNTIFS(AB:AB,K16,AC:AC,L16,AA:AA,M16)</f>
        <v>0</v>
      </c>
      <c r="Z16" s="15" t="s">
        <v>20</v>
      </c>
      <c r="AA16" s="15" t="s">
        <v>65</v>
      </c>
      <c r="AB16" s="15" t="s">
        <v>48</v>
      </c>
      <c r="AC16" s="15">
        <v>2026</v>
      </c>
      <c r="AD16" s="26" t="s">
        <v>32</v>
      </c>
    </row>
    <row r="17" spans="1:30" x14ac:dyDescent="0.45">
      <c r="A17" s="18" t="s">
        <v>62</v>
      </c>
      <c r="B17" s="18" t="s">
        <v>73</v>
      </c>
      <c r="C17" s="16" t="s">
        <v>29</v>
      </c>
      <c r="D17" s="16" t="s">
        <v>112</v>
      </c>
      <c r="E17" s="16" t="s">
        <v>65</v>
      </c>
      <c r="F17" s="18">
        <v>90</v>
      </c>
      <c r="G17" s="18" t="s">
        <v>59</v>
      </c>
      <c r="H17" s="18"/>
      <c r="J17" s="28" t="s">
        <v>99</v>
      </c>
      <c r="K17" s="28" t="s">
        <v>137</v>
      </c>
      <c r="L17" s="28">
        <v>2026</v>
      </c>
      <c r="M17" s="28" t="s">
        <v>65</v>
      </c>
      <c r="N17" s="28">
        <v>1100</v>
      </c>
      <c r="O17" s="28">
        <v>1100</v>
      </c>
      <c r="P17" s="28">
        <v>2</v>
      </c>
      <c r="Q17" s="28">
        <v>2</v>
      </c>
      <c r="R17" s="31"/>
      <c r="S17" s="31"/>
      <c r="T17" s="31"/>
      <c r="U17" s="31"/>
      <c r="V17" s="31"/>
      <c r="W17" s="36"/>
      <c r="X17" s="31"/>
      <c r="Z17" s="15" t="s">
        <v>21</v>
      </c>
      <c r="AA17" s="15" t="s">
        <v>65</v>
      </c>
      <c r="AB17" s="15" t="s">
        <v>48</v>
      </c>
      <c r="AC17" s="15">
        <v>2026</v>
      </c>
      <c r="AD17" s="26" t="s">
        <v>32</v>
      </c>
    </row>
    <row r="18" spans="1:30" x14ac:dyDescent="0.45">
      <c r="A18" s="18" t="s">
        <v>80</v>
      </c>
      <c r="B18" s="18" t="s">
        <v>73</v>
      </c>
      <c r="C18" s="16" t="s">
        <v>29</v>
      </c>
      <c r="D18" s="16" t="s">
        <v>112</v>
      </c>
      <c r="E18" s="16" t="s">
        <v>65</v>
      </c>
      <c r="F18" s="18">
        <v>90</v>
      </c>
      <c r="G18" s="18" t="s">
        <v>59</v>
      </c>
      <c r="H18" s="18"/>
      <c r="Z18" s="15" t="s">
        <v>23</v>
      </c>
      <c r="AA18" s="15" t="s">
        <v>65</v>
      </c>
      <c r="AB18" s="15" t="s">
        <v>48</v>
      </c>
      <c r="AC18" s="15">
        <v>2026</v>
      </c>
      <c r="AD18" s="26" t="s">
        <v>32</v>
      </c>
    </row>
    <row r="19" spans="1:30" x14ac:dyDescent="0.45">
      <c r="A19" s="18" t="s">
        <v>71</v>
      </c>
      <c r="B19" s="18" t="s">
        <v>73</v>
      </c>
      <c r="C19" s="16" t="s">
        <v>29</v>
      </c>
      <c r="D19" s="16" t="s">
        <v>112</v>
      </c>
      <c r="E19" s="16" t="s">
        <v>65</v>
      </c>
      <c r="F19" s="18">
        <v>90</v>
      </c>
      <c r="G19" s="18" t="s">
        <v>59</v>
      </c>
      <c r="H19" s="18"/>
      <c r="Z19" s="15" t="s">
        <v>24</v>
      </c>
      <c r="AA19" s="15" t="s">
        <v>65</v>
      </c>
      <c r="AB19" s="15" t="s">
        <v>48</v>
      </c>
      <c r="AC19" s="15">
        <v>2026</v>
      </c>
      <c r="AD19" s="26" t="s">
        <v>32</v>
      </c>
    </row>
    <row r="20" spans="1:30" x14ac:dyDescent="0.45">
      <c r="A20" s="18" t="s">
        <v>70</v>
      </c>
      <c r="B20" s="18" t="s">
        <v>73</v>
      </c>
      <c r="C20" s="16" t="s">
        <v>29</v>
      </c>
      <c r="D20" s="16" t="s">
        <v>112</v>
      </c>
      <c r="E20" s="16" t="s">
        <v>65</v>
      </c>
      <c r="F20" s="18">
        <v>90</v>
      </c>
      <c r="G20" s="18" t="s">
        <v>59</v>
      </c>
      <c r="H20" s="18" t="s">
        <v>32</v>
      </c>
      <c r="Z20" s="18" t="s">
        <v>83</v>
      </c>
      <c r="AA20" s="18" t="s">
        <v>100</v>
      </c>
      <c r="AB20" s="18" t="s">
        <v>29</v>
      </c>
      <c r="AC20" s="18">
        <v>2026</v>
      </c>
      <c r="AD20" s="27" t="s">
        <v>32</v>
      </c>
    </row>
    <row r="21" spans="1:30" x14ac:dyDescent="0.45">
      <c r="A21" s="15" t="s">
        <v>68</v>
      </c>
      <c r="B21" s="15" t="s">
        <v>81</v>
      </c>
      <c r="C21" s="13" t="s">
        <v>29</v>
      </c>
      <c r="D21" s="13" t="s">
        <v>112</v>
      </c>
      <c r="E21" s="13" t="s">
        <v>65</v>
      </c>
      <c r="F21" s="15">
        <v>90</v>
      </c>
      <c r="G21" s="15" t="s">
        <v>59</v>
      </c>
      <c r="H21" s="15" t="s">
        <v>32</v>
      </c>
      <c r="Z21" s="18" t="s">
        <v>26</v>
      </c>
      <c r="AA21" s="18" t="s">
        <v>100</v>
      </c>
      <c r="AB21" s="18" t="s">
        <v>29</v>
      </c>
      <c r="AC21" s="18">
        <v>2026</v>
      </c>
      <c r="AD21" s="27" t="s">
        <v>32</v>
      </c>
    </row>
    <row r="22" spans="1:30" x14ac:dyDescent="0.45">
      <c r="A22" s="15" t="s">
        <v>80</v>
      </c>
      <c r="B22" s="15" t="s">
        <v>81</v>
      </c>
      <c r="C22" s="13" t="s">
        <v>29</v>
      </c>
      <c r="D22" s="13" t="s">
        <v>112</v>
      </c>
      <c r="E22" s="13" t="s">
        <v>65</v>
      </c>
      <c r="F22" s="15">
        <v>80</v>
      </c>
      <c r="G22" s="15" t="s">
        <v>59</v>
      </c>
      <c r="H22" s="15" t="s">
        <v>61</v>
      </c>
      <c r="Z22" s="18" t="s">
        <v>13</v>
      </c>
      <c r="AA22" s="18" t="s">
        <v>100</v>
      </c>
      <c r="AB22" s="18" t="s">
        <v>29</v>
      </c>
      <c r="AC22" s="18">
        <v>2026</v>
      </c>
      <c r="AD22" s="27" t="s">
        <v>32</v>
      </c>
    </row>
    <row r="23" spans="1:30" x14ac:dyDescent="0.45">
      <c r="A23" s="15" t="s">
        <v>19</v>
      </c>
      <c r="B23" s="15" t="s">
        <v>81</v>
      </c>
      <c r="C23" s="13" t="s">
        <v>29</v>
      </c>
      <c r="D23" s="13" t="s">
        <v>112</v>
      </c>
      <c r="E23" s="13" t="s">
        <v>65</v>
      </c>
      <c r="F23" s="15">
        <v>-1000</v>
      </c>
      <c r="G23" s="15" t="s">
        <v>82</v>
      </c>
      <c r="H23" s="15" t="s">
        <v>82</v>
      </c>
      <c r="Z23" s="18" t="s">
        <v>15</v>
      </c>
      <c r="AA23" s="18" t="s">
        <v>100</v>
      </c>
      <c r="AB23" s="18" t="s">
        <v>29</v>
      </c>
      <c r="AC23" s="18">
        <v>2026</v>
      </c>
      <c r="AD23" s="27" t="s">
        <v>32</v>
      </c>
    </row>
    <row r="24" spans="1:30" x14ac:dyDescent="0.45">
      <c r="A24" s="15" t="s">
        <v>22</v>
      </c>
      <c r="B24" s="15" t="s">
        <v>81</v>
      </c>
      <c r="C24" s="13" t="s">
        <v>29</v>
      </c>
      <c r="D24" s="13" t="s">
        <v>112</v>
      </c>
      <c r="E24" s="13" t="s">
        <v>65</v>
      </c>
      <c r="F24" s="15">
        <v>-600</v>
      </c>
      <c r="G24" s="15" t="s">
        <v>82</v>
      </c>
      <c r="H24" s="15" t="s">
        <v>82</v>
      </c>
      <c r="Z24" s="18" t="s">
        <v>20</v>
      </c>
      <c r="AA24" s="18" t="s">
        <v>100</v>
      </c>
      <c r="AB24" s="18" t="s">
        <v>29</v>
      </c>
      <c r="AC24" s="18">
        <v>2026</v>
      </c>
      <c r="AD24" s="27" t="s">
        <v>32</v>
      </c>
    </row>
    <row r="25" spans="1:30" x14ac:dyDescent="0.45">
      <c r="A25" s="18" t="s">
        <v>88</v>
      </c>
      <c r="B25" s="18" t="s">
        <v>89</v>
      </c>
      <c r="C25" s="16" t="s">
        <v>29</v>
      </c>
      <c r="D25" s="16" t="s">
        <v>112</v>
      </c>
      <c r="E25" s="16" t="s">
        <v>65</v>
      </c>
      <c r="F25" s="18">
        <v>80</v>
      </c>
      <c r="G25" s="18"/>
      <c r="H25" s="18"/>
      <c r="Z25" s="18" t="s">
        <v>24</v>
      </c>
      <c r="AA25" s="18" t="s">
        <v>100</v>
      </c>
      <c r="AB25" s="18" t="s">
        <v>29</v>
      </c>
      <c r="AC25" s="18">
        <v>2026</v>
      </c>
      <c r="AD25" s="27" t="s">
        <v>32</v>
      </c>
    </row>
    <row r="26" spans="1:30" x14ac:dyDescent="0.45">
      <c r="A26" s="18" t="s">
        <v>68</v>
      </c>
      <c r="B26" s="18" t="s">
        <v>89</v>
      </c>
      <c r="C26" s="16" t="s">
        <v>29</v>
      </c>
      <c r="D26" s="16" t="s">
        <v>112</v>
      </c>
      <c r="E26" s="16" t="s">
        <v>65</v>
      </c>
      <c r="F26" s="18">
        <v>80</v>
      </c>
      <c r="G26" s="18"/>
      <c r="H26" s="18"/>
      <c r="Z26" s="18" t="s">
        <v>27</v>
      </c>
      <c r="AA26" s="18" t="s">
        <v>100</v>
      </c>
      <c r="AB26" s="18" t="s">
        <v>29</v>
      </c>
      <c r="AC26" s="18">
        <v>2026</v>
      </c>
      <c r="AD26" s="27" t="s">
        <v>32</v>
      </c>
    </row>
    <row r="27" spans="1:30" x14ac:dyDescent="0.45">
      <c r="A27" s="15" t="s">
        <v>88</v>
      </c>
      <c r="B27" s="15" t="s">
        <v>90</v>
      </c>
      <c r="C27" s="13" t="s">
        <v>29</v>
      </c>
      <c r="D27" s="13" t="s">
        <v>112</v>
      </c>
      <c r="E27" s="13" t="s">
        <v>65</v>
      </c>
      <c r="F27" s="15">
        <v>80</v>
      </c>
      <c r="G27" s="15"/>
      <c r="H27" s="15"/>
      <c r="Z27" s="18" t="s">
        <v>28</v>
      </c>
      <c r="AA27" s="18" t="s">
        <v>100</v>
      </c>
      <c r="AB27" s="18" t="s">
        <v>29</v>
      </c>
      <c r="AC27" s="18">
        <v>2026</v>
      </c>
      <c r="AD27" s="27" t="s">
        <v>32</v>
      </c>
    </row>
    <row r="28" spans="1:30" x14ac:dyDescent="0.45">
      <c r="A28" s="15" t="s">
        <v>68</v>
      </c>
      <c r="B28" s="15" t="s">
        <v>90</v>
      </c>
      <c r="C28" s="13" t="s">
        <v>29</v>
      </c>
      <c r="D28" s="13" t="s">
        <v>112</v>
      </c>
      <c r="E28" s="13" t="s">
        <v>65</v>
      </c>
      <c r="F28" s="15">
        <v>80</v>
      </c>
      <c r="G28" s="15"/>
      <c r="H28" s="15"/>
      <c r="S28" s="2" t="s">
        <v>138</v>
      </c>
      <c r="Z28" s="15" t="s">
        <v>83</v>
      </c>
      <c r="AA28" s="15" t="s">
        <v>65</v>
      </c>
      <c r="AB28" s="15" t="s">
        <v>29</v>
      </c>
      <c r="AC28" s="15">
        <v>2026</v>
      </c>
      <c r="AD28" s="27" t="s">
        <v>32</v>
      </c>
    </row>
    <row r="29" spans="1:30" x14ac:dyDescent="0.45">
      <c r="A29" s="18" t="s">
        <v>68</v>
      </c>
      <c r="B29" s="18" t="s">
        <v>91</v>
      </c>
      <c r="C29" s="16" t="s">
        <v>29</v>
      </c>
      <c r="D29" s="16" t="s">
        <v>112</v>
      </c>
      <c r="E29" s="16" t="s">
        <v>65</v>
      </c>
      <c r="F29" s="18">
        <v>80</v>
      </c>
      <c r="G29" s="18"/>
      <c r="H29" s="18"/>
      <c r="Z29" s="15" t="s">
        <v>11</v>
      </c>
      <c r="AA29" s="15" t="s">
        <v>65</v>
      </c>
      <c r="AB29" s="15" t="s">
        <v>29</v>
      </c>
      <c r="AC29" s="15">
        <v>2026</v>
      </c>
      <c r="AD29" s="27" t="s">
        <v>32</v>
      </c>
    </row>
    <row r="30" spans="1:30" x14ac:dyDescent="0.45">
      <c r="A30" s="18" t="s">
        <v>88</v>
      </c>
      <c r="B30" s="18" t="s">
        <v>91</v>
      </c>
      <c r="C30" s="16" t="s">
        <v>29</v>
      </c>
      <c r="D30" s="16" t="s">
        <v>112</v>
      </c>
      <c r="E30" s="16" t="s">
        <v>65</v>
      </c>
      <c r="F30" s="18">
        <v>80</v>
      </c>
      <c r="G30" s="18"/>
      <c r="H30" s="18"/>
      <c r="Z30" s="15" t="s">
        <v>12</v>
      </c>
      <c r="AA30" s="15" t="s">
        <v>65</v>
      </c>
      <c r="AB30" s="15" t="s">
        <v>29</v>
      </c>
      <c r="AC30" s="15">
        <v>2026</v>
      </c>
      <c r="AD30" s="27" t="s">
        <v>32</v>
      </c>
    </row>
    <row r="31" spans="1:30" x14ac:dyDescent="0.45">
      <c r="A31" s="15" t="s">
        <v>88</v>
      </c>
      <c r="B31" s="15" t="s">
        <v>103</v>
      </c>
      <c r="C31" s="13" t="s">
        <v>29</v>
      </c>
      <c r="D31" s="13" t="s">
        <v>112</v>
      </c>
      <c r="E31" s="13" t="s">
        <v>65</v>
      </c>
      <c r="F31" s="15">
        <v>80</v>
      </c>
      <c r="G31" s="15"/>
      <c r="H31" s="15"/>
      <c r="Z31" s="15" t="s">
        <v>15</v>
      </c>
      <c r="AA31" s="15" t="s">
        <v>65</v>
      </c>
      <c r="AB31" s="15" t="s">
        <v>29</v>
      </c>
      <c r="AC31" s="15">
        <v>2026</v>
      </c>
      <c r="AD31" s="27" t="s">
        <v>32</v>
      </c>
    </row>
    <row r="32" spans="1:30" x14ac:dyDescent="0.45">
      <c r="A32" s="15" t="s">
        <v>68</v>
      </c>
      <c r="B32" s="15" t="s">
        <v>103</v>
      </c>
      <c r="C32" s="13" t="s">
        <v>29</v>
      </c>
      <c r="D32" s="13" t="s">
        <v>112</v>
      </c>
      <c r="E32" s="13" t="s">
        <v>65</v>
      </c>
      <c r="F32" s="15">
        <v>80</v>
      </c>
      <c r="G32" s="15"/>
      <c r="H32" s="15"/>
      <c r="Z32" s="15" t="s">
        <v>16</v>
      </c>
      <c r="AA32" s="15" t="s">
        <v>65</v>
      </c>
      <c r="AB32" s="15" t="s">
        <v>29</v>
      </c>
      <c r="AC32" s="15">
        <v>2026</v>
      </c>
      <c r="AD32" s="27" t="s">
        <v>32</v>
      </c>
    </row>
    <row r="33" spans="1:30" x14ac:dyDescent="0.45">
      <c r="A33" s="18" t="s">
        <v>70</v>
      </c>
      <c r="B33" s="18" t="s">
        <v>104</v>
      </c>
      <c r="C33" s="16" t="s">
        <v>29</v>
      </c>
      <c r="D33" s="16" t="s">
        <v>112</v>
      </c>
      <c r="E33" s="16" t="s">
        <v>65</v>
      </c>
      <c r="F33" s="18">
        <v>90</v>
      </c>
      <c r="G33" s="18"/>
      <c r="H33" s="18"/>
      <c r="Z33" s="15" t="s">
        <v>17</v>
      </c>
      <c r="AA33" s="15" t="s">
        <v>65</v>
      </c>
      <c r="AB33" s="15" t="s">
        <v>29</v>
      </c>
      <c r="AC33" s="15">
        <v>2026</v>
      </c>
      <c r="AD33" s="27" t="s">
        <v>32</v>
      </c>
    </row>
    <row r="34" spans="1:30" x14ac:dyDescent="0.45">
      <c r="A34" s="15" t="s">
        <v>70</v>
      </c>
      <c r="B34" s="15" t="s">
        <v>105</v>
      </c>
      <c r="C34" s="13" t="s">
        <v>29</v>
      </c>
      <c r="D34" s="13" t="s">
        <v>112</v>
      </c>
      <c r="E34" s="13" t="s">
        <v>65</v>
      </c>
      <c r="F34" s="15">
        <v>90</v>
      </c>
      <c r="G34" s="15"/>
      <c r="H34" s="15"/>
      <c r="Z34" s="15" t="s">
        <v>19</v>
      </c>
      <c r="AA34" s="15" t="s">
        <v>65</v>
      </c>
      <c r="AB34" s="15" t="s">
        <v>29</v>
      </c>
      <c r="AC34" s="15">
        <v>2026</v>
      </c>
      <c r="AD34" s="27" t="s">
        <v>32</v>
      </c>
    </row>
    <row r="35" spans="1:30" x14ac:dyDescent="0.45">
      <c r="A35" s="15" t="s">
        <v>68</v>
      </c>
      <c r="B35" s="15" t="s">
        <v>105</v>
      </c>
      <c r="C35" s="13" t="s">
        <v>29</v>
      </c>
      <c r="D35" s="13" t="s">
        <v>112</v>
      </c>
      <c r="E35" s="13" t="s">
        <v>65</v>
      </c>
      <c r="F35" s="15">
        <v>90</v>
      </c>
      <c r="G35" s="15"/>
      <c r="H35" s="15"/>
      <c r="Z35" s="15" t="s">
        <v>21</v>
      </c>
      <c r="AA35" s="15" t="s">
        <v>65</v>
      </c>
      <c r="AB35" s="15" t="s">
        <v>29</v>
      </c>
      <c r="AC35" s="15">
        <v>2026</v>
      </c>
      <c r="AD35" s="27" t="s">
        <v>32</v>
      </c>
    </row>
    <row r="36" spans="1:30" x14ac:dyDescent="0.45">
      <c r="A36" s="15" t="s">
        <v>113</v>
      </c>
      <c r="B36" s="15" t="s">
        <v>105</v>
      </c>
      <c r="C36" s="13" t="s">
        <v>29</v>
      </c>
      <c r="D36" s="13" t="s">
        <v>112</v>
      </c>
      <c r="E36" s="13" t="s">
        <v>65</v>
      </c>
      <c r="F36" s="15">
        <v>90</v>
      </c>
      <c r="G36" s="15"/>
      <c r="H36" s="15"/>
      <c r="Z36" s="15" t="s">
        <v>22</v>
      </c>
      <c r="AA36" s="15" t="s">
        <v>65</v>
      </c>
      <c r="AB36" s="15" t="s">
        <v>29</v>
      </c>
      <c r="AC36" s="15">
        <v>2026</v>
      </c>
      <c r="AD36" s="27" t="s">
        <v>32</v>
      </c>
    </row>
    <row r="37" spans="1:30" x14ac:dyDescent="0.45">
      <c r="A37" s="18" t="s">
        <v>114</v>
      </c>
      <c r="B37" s="18" t="s">
        <v>115</v>
      </c>
      <c r="C37" s="16" t="s">
        <v>51</v>
      </c>
      <c r="D37" s="16" t="s">
        <v>112</v>
      </c>
      <c r="E37" s="16" t="s">
        <v>65</v>
      </c>
      <c r="F37" s="18">
        <v>80</v>
      </c>
      <c r="G37" s="18"/>
      <c r="H37" s="18"/>
      <c r="Z37" s="15" t="s">
        <v>24</v>
      </c>
      <c r="AA37" s="15" t="s">
        <v>65</v>
      </c>
      <c r="AB37" s="15" t="s">
        <v>29</v>
      </c>
      <c r="AC37" s="15">
        <v>2026</v>
      </c>
      <c r="AD37" s="27" t="s">
        <v>32</v>
      </c>
    </row>
    <row r="38" spans="1:30" x14ac:dyDescent="0.45">
      <c r="A38" s="15" t="s">
        <v>114</v>
      </c>
      <c r="B38" s="15" t="s">
        <v>117</v>
      </c>
      <c r="C38" s="13" t="s">
        <v>51</v>
      </c>
      <c r="D38" s="13" t="s">
        <v>112</v>
      </c>
      <c r="E38" s="13" t="s">
        <v>65</v>
      </c>
      <c r="F38" s="15">
        <v>80</v>
      </c>
      <c r="G38" s="15"/>
      <c r="H38" s="15"/>
      <c r="Z38" s="18" t="s">
        <v>83</v>
      </c>
      <c r="AA38" s="18" t="s">
        <v>100</v>
      </c>
      <c r="AB38" s="18" t="s">
        <v>51</v>
      </c>
      <c r="AC38" s="18">
        <v>2026</v>
      </c>
      <c r="AD38" s="26" t="s">
        <v>32</v>
      </c>
    </row>
    <row r="39" spans="1:30" x14ac:dyDescent="0.45">
      <c r="A39" s="15" t="s">
        <v>22</v>
      </c>
      <c r="B39" s="15" t="s">
        <v>117</v>
      </c>
      <c r="C39" s="13" t="s">
        <v>51</v>
      </c>
      <c r="D39" s="13" t="s">
        <v>112</v>
      </c>
      <c r="E39" s="13" t="s">
        <v>65</v>
      </c>
      <c r="F39" s="15">
        <v>100</v>
      </c>
      <c r="G39" s="15"/>
      <c r="H39" s="15"/>
      <c r="Z39" s="18" t="s">
        <v>26</v>
      </c>
      <c r="AA39" s="18" t="s">
        <v>100</v>
      </c>
      <c r="AB39" s="18" t="s">
        <v>51</v>
      </c>
      <c r="AC39" s="18">
        <v>2026</v>
      </c>
      <c r="AD39" s="26" t="s">
        <v>32</v>
      </c>
    </row>
    <row r="40" spans="1:30" x14ac:dyDescent="0.45">
      <c r="A40" s="18" t="s">
        <v>80</v>
      </c>
      <c r="B40" s="18" t="s">
        <v>118</v>
      </c>
      <c r="C40" s="16" t="s">
        <v>51</v>
      </c>
      <c r="D40" s="16" t="s">
        <v>112</v>
      </c>
      <c r="E40" s="16" t="s">
        <v>100</v>
      </c>
      <c r="F40" s="18">
        <v>80</v>
      </c>
      <c r="G40" s="18"/>
      <c r="H40" s="18"/>
      <c r="Z40" s="18" t="s">
        <v>13</v>
      </c>
      <c r="AA40" s="18" t="s">
        <v>100</v>
      </c>
      <c r="AB40" s="18" t="s">
        <v>51</v>
      </c>
      <c r="AC40" s="18">
        <v>2026</v>
      </c>
      <c r="AD40" s="26" t="s">
        <v>32</v>
      </c>
    </row>
    <row r="41" spans="1:30" x14ac:dyDescent="0.45">
      <c r="A41" s="18" t="s">
        <v>114</v>
      </c>
      <c r="B41" s="18" t="s">
        <v>118</v>
      </c>
      <c r="C41" s="16" t="s">
        <v>51</v>
      </c>
      <c r="D41" s="16" t="s">
        <v>112</v>
      </c>
      <c r="E41" s="16" t="s">
        <v>65</v>
      </c>
      <c r="F41" s="18">
        <v>80</v>
      </c>
      <c r="G41" s="18"/>
      <c r="H41" s="18"/>
      <c r="Z41" s="18" t="s">
        <v>15</v>
      </c>
      <c r="AA41" s="18" t="s">
        <v>100</v>
      </c>
      <c r="AB41" s="18" t="s">
        <v>51</v>
      </c>
      <c r="AC41" s="18">
        <v>2026</v>
      </c>
      <c r="AD41" s="26" t="s">
        <v>32</v>
      </c>
    </row>
    <row r="42" spans="1:30" x14ac:dyDescent="0.45">
      <c r="A42" s="15" t="s">
        <v>80</v>
      </c>
      <c r="B42" s="15" t="s">
        <v>119</v>
      </c>
      <c r="C42" s="13" t="s">
        <v>51</v>
      </c>
      <c r="D42" s="13" t="s">
        <v>112</v>
      </c>
      <c r="E42" s="13" t="s">
        <v>100</v>
      </c>
      <c r="F42" s="15">
        <v>80</v>
      </c>
      <c r="G42" s="15"/>
      <c r="H42" s="15"/>
      <c r="Z42" s="18" t="s">
        <v>20</v>
      </c>
      <c r="AA42" s="18" t="s">
        <v>100</v>
      </c>
      <c r="AB42" s="18" t="s">
        <v>51</v>
      </c>
      <c r="AC42" s="18">
        <v>2026</v>
      </c>
      <c r="AD42" s="26" t="s">
        <v>32</v>
      </c>
    </row>
    <row r="43" spans="1:30" x14ac:dyDescent="0.45">
      <c r="A43" s="15" t="s">
        <v>22</v>
      </c>
      <c r="B43" s="15" t="s">
        <v>119</v>
      </c>
      <c r="C43" s="13" t="s">
        <v>51</v>
      </c>
      <c r="D43" s="13" t="s">
        <v>112</v>
      </c>
      <c r="E43" s="13" t="s">
        <v>100</v>
      </c>
      <c r="F43" s="15">
        <v>80</v>
      </c>
      <c r="G43" s="15"/>
      <c r="H43" s="15"/>
      <c r="Z43" s="18" t="s">
        <v>27</v>
      </c>
      <c r="AA43" s="18" t="s">
        <v>100</v>
      </c>
      <c r="AB43" s="18" t="s">
        <v>51</v>
      </c>
      <c r="AC43" s="18">
        <v>2026</v>
      </c>
      <c r="AD43" s="26" t="s">
        <v>32</v>
      </c>
    </row>
    <row r="44" spans="1:30" x14ac:dyDescent="0.45">
      <c r="A44" s="15" t="s">
        <v>22</v>
      </c>
      <c r="B44" s="15" t="s">
        <v>119</v>
      </c>
      <c r="C44" s="13" t="s">
        <v>51</v>
      </c>
      <c r="D44" s="13" t="s">
        <v>112</v>
      </c>
      <c r="E44" s="13" t="s">
        <v>65</v>
      </c>
      <c r="F44" s="15">
        <v>100</v>
      </c>
      <c r="G44" s="15"/>
      <c r="H44" s="15"/>
      <c r="Z44" s="18" t="s">
        <v>28</v>
      </c>
      <c r="AA44" s="18" t="s">
        <v>100</v>
      </c>
      <c r="AB44" s="18" t="s">
        <v>51</v>
      </c>
      <c r="AC44" s="18">
        <v>2026</v>
      </c>
      <c r="AD44" s="26" t="s">
        <v>32</v>
      </c>
    </row>
    <row r="45" spans="1:30" x14ac:dyDescent="0.45">
      <c r="A45" s="18" t="s">
        <v>80</v>
      </c>
      <c r="B45" s="18" t="s">
        <v>120</v>
      </c>
      <c r="C45" s="16" t="s">
        <v>51</v>
      </c>
      <c r="D45" s="16" t="s">
        <v>112</v>
      </c>
      <c r="E45" s="16" t="s">
        <v>100</v>
      </c>
      <c r="F45" s="18">
        <v>80</v>
      </c>
      <c r="G45" s="18"/>
      <c r="H45" s="18"/>
      <c r="Z45" s="15" t="s">
        <v>83</v>
      </c>
      <c r="AA45" s="15" t="s">
        <v>65</v>
      </c>
      <c r="AB45" s="15" t="s">
        <v>51</v>
      </c>
      <c r="AC45" s="15">
        <v>2026</v>
      </c>
      <c r="AD45" s="26" t="s">
        <v>32</v>
      </c>
    </row>
    <row r="46" spans="1:30" x14ac:dyDescent="0.45">
      <c r="A46" s="15" t="s">
        <v>27</v>
      </c>
      <c r="B46" s="15" t="s">
        <v>121</v>
      </c>
      <c r="C46" s="13" t="s">
        <v>51</v>
      </c>
      <c r="D46" s="13" t="s">
        <v>112</v>
      </c>
      <c r="E46" s="13" t="s">
        <v>100</v>
      </c>
      <c r="F46" s="15">
        <v>80</v>
      </c>
      <c r="G46" s="15"/>
      <c r="H46" s="15"/>
      <c r="Z46" s="15" t="s">
        <v>11</v>
      </c>
      <c r="AA46" s="15" t="s">
        <v>65</v>
      </c>
      <c r="AB46" s="15" t="s">
        <v>51</v>
      </c>
      <c r="AC46" s="15">
        <v>2026</v>
      </c>
      <c r="AD46" s="26" t="s">
        <v>32</v>
      </c>
    </row>
    <row r="47" spans="1:30" x14ac:dyDescent="0.45">
      <c r="A47" s="15" t="s">
        <v>80</v>
      </c>
      <c r="B47" s="15" t="s">
        <v>121</v>
      </c>
      <c r="C47" s="13" t="s">
        <v>51</v>
      </c>
      <c r="D47" s="13" t="s">
        <v>112</v>
      </c>
      <c r="E47" s="13" t="s">
        <v>100</v>
      </c>
      <c r="F47" s="15">
        <v>80</v>
      </c>
      <c r="G47" s="15"/>
      <c r="H47" s="15"/>
      <c r="Z47" s="15" t="s">
        <v>12</v>
      </c>
      <c r="AA47" s="15" t="s">
        <v>65</v>
      </c>
      <c r="AB47" s="15" t="s">
        <v>51</v>
      </c>
      <c r="AC47" s="15">
        <v>2026</v>
      </c>
      <c r="AD47" s="26" t="s">
        <v>32</v>
      </c>
    </row>
    <row r="48" spans="1:30" x14ac:dyDescent="0.45">
      <c r="A48" s="18" t="s">
        <v>80</v>
      </c>
      <c r="B48" s="18" t="s">
        <v>126</v>
      </c>
      <c r="C48" s="16" t="s">
        <v>51</v>
      </c>
      <c r="D48" s="16" t="s">
        <v>112</v>
      </c>
      <c r="E48" s="16" t="s">
        <v>100</v>
      </c>
      <c r="F48" s="18">
        <v>80</v>
      </c>
      <c r="G48" s="18"/>
      <c r="H48" s="18"/>
      <c r="Z48" s="15" t="s">
        <v>15</v>
      </c>
      <c r="AA48" s="15" t="s">
        <v>65</v>
      </c>
      <c r="AB48" s="15" t="s">
        <v>51</v>
      </c>
      <c r="AC48" s="15">
        <v>2026</v>
      </c>
      <c r="AD48" s="26" t="s">
        <v>32</v>
      </c>
    </row>
    <row r="49" spans="1:30" x14ac:dyDescent="0.45">
      <c r="A49" s="15" t="s">
        <v>80</v>
      </c>
      <c r="B49" s="15" t="s">
        <v>125</v>
      </c>
      <c r="C49" s="13" t="s">
        <v>51</v>
      </c>
      <c r="D49" s="13" t="s">
        <v>112</v>
      </c>
      <c r="E49" s="13" t="s">
        <v>100</v>
      </c>
      <c r="F49" s="15">
        <v>80</v>
      </c>
      <c r="G49" s="15"/>
      <c r="H49" s="15"/>
      <c r="Z49" s="15" t="s">
        <v>16</v>
      </c>
      <c r="AA49" s="15" t="s">
        <v>65</v>
      </c>
      <c r="AB49" s="15" t="s">
        <v>51</v>
      </c>
      <c r="AC49" s="15">
        <v>2026</v>
      </c>
      <c r="AD49" s="26" t="s">
        <v>32</v>
      </c>
    </row>
    <row r="50" spans="1:30" x14ac:dyDescent="0.45">
      <c r="A50" s="15" t="s">
        <v>127</v>
      </c>
      <c r="B50" s="15" t="s">
        <v>125</v>
      </c>
      <c r="C50" s="13" t="s">
        <v>51</v>
      </c>
      <c r="D50" s="13" t="s">
        <v>112</v>
      </c>
      <c r="E50" s="13" t="s">
        <v>65</v>
      </c>
      <c r="F50" s="15">
        <v>100</v>
      </c>
      <c r="G50" s="15"/>
      <c r="H50" s="15"/>
      <c r="Z50" s="15" t="s">
        <v>17</v>
      </c>
      <c r="AA50" s="15" t="s">
        <v>65</v>
      </c>
      <c r="AB50" s="15" t="s">
        <v>51</v>
      </c>
      <c r="AC50" s="15">
        <v>2026</v>
      </c>
      <c r="AD50" s="26" t="s">
        <v>32</v>
      </c>
    </row>
    <row r="51" spans="1:30" x14ac:dyDescent="0.45">
      <c r="A51" s="18" t="s">
        <v>22</v>
      </c>
      <c r="B51" s="18" t="s">
        <v>78</v>
      </c>
      <c r="C51" s="16" t="s">
        <v>51</v>
      </c>
      <c r="D51" s="16" t="s">
        <v>112</v>
      </c>
      <c r="E51" s="16" t="s">
        <v>100</v>
      </c>
      <c r="F51" s="18">
        <v>80</v>
      </c>
      <c r="G51" s="18"/>
      <c r="H51" s="18"/>
      <c r="Z51" s="15" t="s">
        <v>19</v>
      </c>
      <c r="AA51" s="15" t="s">
        <v>65</v>
      </c>
      <c r="AB51" s="15" t="s">
        <v>51</v>
      </c>
      <c r="AC51" s="15">
        <v>2026</v>
      </c>
      <c r="AD51" s="26" t="s">
        <v>32</v>
      </c>
    </row>
    <row r="52" spans="1:30" x14ac:dyDescent="0.45">
      <c r="A52" s="18" t="s">
        <v>22</v>
      </c>
      <c r="B52" s="18" t="s">
        <v>78</v>
      </c>
      <c r="C52" s="16" t="s">
        <v>51</v>
      </c>
      <c r="D52" s="16" t="s">
        <v>112</v>
      </c>
      <c r="E52" s="16" t="s">
        <v>65</v>
      </c>
      <c r="F52" s="18">
        <v>100</v>
      </c>
      <c r="G52" s="18"/>
      <c r="H52" s="18"/>
      <c r="Z52" s="15" t="s">
        <v>21</v>
      </c>
      <c r="AA52" s="15" t="s">
        <v>65</v>
      </c>
      <c r="AB52" s="15" t="s">
        <v>51</v>
      </c>
      <c r="AC52" s="15">
        <v>2026</v>
      </c>
      <c r="AD52" s="26" t="s">
        <v>32</v>
      </c>
    </row>
    <row r="53" spans="1:30" x14ac:dyDescent="0.45">
      <c r="A53" s="18" t="s">
        <v>114</v>
      </c>
      <c r="B53" s="18" t="s">
        <v>78</v>
      </c>
      <c r="C53" s="16" t="s">
        <v>51</v>
      </c>
      <c r="D53" s="16" t="s">
        <v>112</v>
      </c>
      <c r="E53" s="16" t="s">
        <v>65</v>
      </c>
      <c r="F53" s="18">
        <v>160</v>
      </c>
      <c r="G53" s="18"/>
      <c r="H53" s="18"/>
      <c r="Z53" s="15" t="s">
        <v>68</v>
      </c>
      <c r="AA53" s="15" t="s">
        <v>65</v>
      </c>
      <c r="AB53" s="15" t="s">
        <v>51</v>
      </c>
      <c r="AC53" s="15">
        <v>2026</v>
      </c>
      <c r="AD53" s="26" t="s">
        <v>32</v>
      </c>
    </row>
    <row r="54" spans="1:30" x14ac:dyDescent="0.45">
      <c r="A54" s="18" t="s">
        <v>127</v>
      </c>
      <c r="B54" s="18" t="s">
        <v>78</v>
      </c>
      <c r="C54" s="16" t="s">
        <v>51</v>
      </c>
      <c r="D54" s="16" t="s">
        <v>112</v>
      </c>
      <c r="E54" s="16" t="s">
        <v>65</v>
      </c>
      <c r="F54" s="18">
        <v>90</v>
      </c>
      <c r="G54" s="18"/>
      <c r="H54" s="18"/>
      <c r="Z54" s="15" t="s">
        <v>88</v>
      </c>
      <c r="AA54" s="15" t="s">
        <v>65</v>
      </c>
      <c r="AB54" s="15" t="s">
        <v>51</v>
      </c>
      <c r="AC54" s="15">
        <v>2026</v>
      </c>
      <c r="AD54" s="26" t="s">
        <v>32</v>
      </c>
    </row>
    <row r="55" spans="1:30" x14ac:dyDescent="0.45">
      <c r="A55" s="15" t="s">
        <v>80</v>
      </c>
      <c r="B55" s="15" t="s">
        <v>77</v>
      </c>
      <c r="C55" s="13" t="s">
        <v>51</v>
      </c>
      <c r="D55" s="13" t="s">
        <v>112</v>
      </c>
      <c r="E55" s="13" t="s">
        <v>100</v>
      </c>
      <c r="F55" s="15">
        <v>80</v>
      </c>
      <c r="G55" s="15"/>
      <c r="H55" s="15"/>
      <c r="Z55" s="15" t="s">
        <v>113</v>
      </c>
      <c r="AA55" s="15" t="s">
        <v>65</v>
      </c>
      <c r="AB55" s="15" t="s">
        <v>51</v>
      </c>
      <c r="AC55" s="15">
        <v>2026</v>
      </c>
      <c r="AD55" s="26" t="s">
        <v>32</v>
      </c>
    </row>
    <row r="56" spans="1:30" x14ac:dyDescent="0.45">
      <c r="A56" s="15" t="s">
        <v>114</v>
      </c>
      <c r="B56" s="15" t="s">
        <v>77</v>
      </c>
      <c r="C56" s="13" t="s">
        <v>51</v>
      </c>
      <c r="D56" s="13" t="s">
        <v>112</v>
      </c>
      <c r="E56" s="13" t="s">
        <v>65</v>
      </c>
      <c r="F56" s="15">
        <v>80</v>
      </c>
      <c r="G56" s="15"/>
      <c r="H56" s="15"/>
      <c r="Z56" s="18" t="s">
        <v>83</v>
      </c>
      <c r="AA56" s="18" t="s">
        <v>100</v>
      </c>
      <c r="AB56" s="18" t="s">
        <v>137</v>
      </c>
      <c r="AC56" s="18">
        <v>2026</v>
      </c>
      <c r="AD56" s="18" t="s">
        <v>33</v>
      </c>
    </row>
    <row r="57" spans="1:30" x14ac:dyDescent="0.45">
      <c r="A57" s="18" t="s">
        <v>80</v>
      </c>
      <c r="B57" s="18" t="s">
        <v>128</v>
      </c>
      <c r="C57" s="16" t="s">
        <v>51</v>
      </c>
      <c r="D57" s="16" t="s">
        <v>112</v>
      </c>
      <c r="E57" s="16" t="s">
        <v>100</v>
      </c>
      <c r="F57" s="18">
        <v>80</v>
      </c>
      <c r="G57" s="18"/>
      <c r="H57" s="18"/>
      <c r="Z57" s="18" t="s">
        <v>26</v>
      </c>
      <c r="AA57" s="18" t="s">
        <v>100</v>
      </c>
      <c r="AB57" s="18" t="s">
        <v>137</v>
      </c>
      <c r="AC57" s="18">
        <v>2026</v>
      </c>
      <c r="AD57" s="18" t="s">
        <v>33</v>
      </c>
    </row>
    <row r="58" spans="1:30" x14ac:dyDescent="0.45">
      <c r="A58" s="15" t="s">
        <v>80</v>
      </c>
      <c r="B58" s="15" t="s">
        <v>129</v>
      </c>
      <c r="C58" s="13" t="s">
        <v>51</v>
      </c>
      <c r="D58" s="13" t="s">
        <v>112</v>
      </c>
      <c r="E58" s="13" t="s">
        <v>100</v>
      </c>
      <c r="F58" s="15">
        <v>80</v>
      </c>
      <c r="G58" s="15"/>
      <c r="H58" s="15"/>
      <c r="Z58" s="18" t="s">
        <v>13</v>
      </c>
      <c r="AA58" s="18" t="s">
        <v>100</v>
      </c>
      <c r="AB58" s="18" t="s">
        <v>137</v>
      </c>
      <c r="AC58" s="18">
        <v>2026</v>
      </c>
      <c r="AD58" s="18" t="s">
        <v>33</v>
      </c>
    </row>
    <row r="59" spans="1:30" x14ac:dyDescent="0.45">
      <c r="A59" s="18" t="s">
        <v>80</v>
      </c>
      <c r="B59" s="18" t="s">
        <v>130</v>
      </c>
      <c r="C59" s="16" t="s">
        <v>51</v>
      </c>
      <c r="D59" s="16" t="s">
        <v>112</v>
      </c>
      <c r="E59" s="16" t="s">
        <v>100</v>
      </c>
      <c r="F59" s="18">
        <v>80</v>
      </c>
      <c r="G59" s="18"/>
      <c r="H59" s="18"/>
      <c r="Z59" s="18" t="s">
        <v>15</v>
      </c>
      <c r="AA59" s="18" t="s">
        <v>100</v>
      </c>
      <c r="AB59" s="18" t="s">
        <v>137</v>
      </c>
      <c r="AC59" s="18">
        <v>2026</v>
      </c>
      <c r="AD59" s="18" t="s">
        <v>33</v>
      </c>
    </row>
    <row r="60" spans="1:30" x14ac:dyDescent="0.45">
      <c r="A60" s="18" t="s">
        <v>70</v>
      </c>
      <c r="B60" s="18" t="s">
        <v>130</v>
      </c>
      <c r="C60" s="16" t="s">
        <v>51</v>
      </c>
      <c r="D60" s="16" t="s">
        <v>112</v>
      </c>
      <c r="E60" s="16" t="s">
        <v>65</v>
      </c>
      <c r="F60" s="18">
        <v>90</v>
      </c>
      <c r="G60" s="18"/>
      <c r="H60" s="18"/>
      <c r="Z60" s="18" t="s">
        <v>20</v>
      </c>
      <c r="AA60" s="18" t="s">
        <v>100</v>
      </c>
      <c r="AB60" s="18" t="s">
        <v>137</v>
      </c>
      <c r="AC60" s="18">
        <v>2026</v>
      </c>
      <c r="AD60" s="18" t="s">
        <v>33</v>
      </c>
    </row>
    <row r="61" spans="1:30" x14ac:dyDescent="0.45">
      <c r="A61" s="15" t="s">
        <v>70</v>
      </c>
      <c r="B61" s="15" t="s">
        <v>131</v>
      </c>
      <c r="C61" s="13" t="s">
        <v>51</v>
      </c>
      <c r="D61" s="13" t="s">
        <v>112</v>
      </c>
      <c r="E61" s="13" t="s">
        <v>65</v>
      </c>
      <c r="F61" s="15">
        <v>90</v>
      </c>
      <c r="G61" s="15"/>
      <c r="H61" s="15"/>
      <c r="Z61" s="18" t="s">
        <v>27</v>
      </c>
      <c r="AA61" s="18" t="s">
        <v>100</v>
      </c>
      <c r="AB61" s="18" t="s">
        <v>137</v>
      </c>
      <c r="AC61" s="18">
        <v>2026</v>
      </c>
      <c r="AD61" s="18" t="s">
        <v>33</v>
      </c>
    </row>
    <row r="62" spans="1:30" x14ac:dyDescent="0.45">
      <c r="A62" s="18" t="s">
        <v>80</v>
      </c>
      <c r="B62" s="18" t="s">
        <v>132</v>
      </c>
      <c r="C62" s="16" t="s">
        <v>51</v>
      </c>
      <c r="D62" s="16" t="s">
        <v>112</v>
      </c>
      <c r="E62" s="16" t="s">
        <v>100</v>
      </c>
      <c r="F62" s="18">
        <v>80</v>
      </c>
      <c r="G62" s="18"/>
      <c r="H62" s="18"/>
      <c r="Z62" s="18" t="s">
        <v>28</v>
      </c>
      <c r="AA62" s="18" t="s">
        <v>100</v>
      </c>
      <c r="AB62" s="18" t="s">
        <v>137</v>
      </c>
      <c r="AC62" s="18">
        <v>2026</v>
      </c>
      <c r="AD62" s="18" t="s">
        <v>33</v>
      </c>
    </row>
    <row r="63" spans="1:30" x14ac:dyDescent="0.45">
      <c r="A63" s="15" t="s">
        <v>70</v>
      </c>
      <c r="B63" s="15" t="s">
        <v>133</v>
      </c>
      <c r="C63" s="13" t="s">
        <v>51</v>
      </c>
      <c r="D63" s="13" t="s">
        <v>112</v>
      </c>
      <c r="E63" s="13" t="s">
        <v>65</v>
      </c>
      <c r="F63" s="15">
        <v>90</v>
      </c>
      <c r="G63" s="15"/>
      <c r="H63" s="15"/>
      <c r="Z63" s="15" t="s">
        <v>83</v>
      </c>
      <c r="AA63" s="15" t="s">
        <v>65</v>
      </c>
      <c r="AB63" s="15" t="s">
        <v>137</v>
      </c>
      <c r="AC63" s="15">
        <v>2026</v>
      </c>
      <c r="AD63" s="15" t="s">
        <v>33</v>
      </c>
    </row>
    <row r="64" spans="1:30" x14ac:dyDescent="0.45">
      <c r="A64" s="18" t="s">
        <v>70</v>
      </c>
      <c r="B64" s="18" t="s">
        <v>76</v>
      </c>
      <c r="C64" s="16" t="s">
        <v>51</v>
      </c>
      <c r="D64" s="16" t="s">
        <v>112</v>
      </c>
      <c r="E64" s="16" t="s">
        <v>65</v>
      </c>
      <c r="F64" s="18">
        <v>90</v>
      </c>
      <c r="G64" s="18"/>
      <c r="H64" s="18"/>
      <c r="Z64" s="15" t="s">
        <v>11</v>
      </c>
      <c r="AA64" s="15" t="s">
        <v>65</v>
      </c>
      <c r="AB64" s="15" t="s">
        <v>137</v>
      </c>
      <c r="AC64" s="15">
        <v>2026</v>
      </c>
      <c r="AD64" s="15" t="s">
        <v>33</v>
      </c>
    </row>
    <row r="65" spans="1:30" x14ac:dyDescent="0.45">
      <c r="A65" s="15" t="s">
        <v>80</v>
      </c>
      <c r="B65" s="15" t="s">
        <v>75</v>
      </c>
      <c r="C65" s="13" t="s">
        <v>51</v>
      </c>
      <c r="D65" s="13" t="s">
        <v>112</v>
      </c>
      <c r="E65" s="13" t="s">
        <v>100</v>
      </c>
      <c r="F65" s="15">
        <v>320</v>
      </c>
      <c r="G65" s="15"/>
      <c r="H65" s="15"/>
      <c r="Z65" s="15" t="s">
        <v>12</v>
      </c>
      <c r="AA65" s="15" t="s">
        <v>65</v>
      </c>
      <c r="AB65" s="15" t="s">
        <v>137</v>
      </c>
      <c r="AC65" s="15">
        <v>2026</v>
      </c>
      <c r="AD65" s="15" t="s">
        <v>33</v>
      </c>
    </row>
    <row r="66" spans="1:30" x14ac:dyDescent="0.45">
      <c r="A66" s="18" t="s">
        <v>80</v>
      </c>
      <c r="B66" s="18" t="s">
        <v>74</v>
      </c>
      <c r="C66" s="16" t="s">
        <v>51</v>
      </c>
      <c r="D66" s="16" t="s">
        <v>112</v>
      </c>
      <c r="E66" s="16" t="s">
        <v>100</v>
      </c>
      <c r="F66" s="18">
        <v>80</v>
      </c>
      <c r="G66" s="18"/>
      <c r="H66" s="18"/>
      <c r="Z66" s="15" t="s">
        <v>15</v>
      </c>
      <c r="AA66" s="15" t="s">
        <v>65</v>
      </c>
      <c r="AB66" s="15" t="s">
        <v>137</v>
      </c>
      <c r="AC66" s="15">
        <v>2026</v>
      </c>
      <c r="AD66" s="15" t="s">
        <v>33</v>
      </c>
    </row>
    <row r="67" spans="1:30" x14ac:dyDescent="0.45">
      <c r="A67" s="15" t="s">
        <v>134</v>
      </c>
      <c r="B67" s="15" t="s">
        <v>73</v>
      </c>
      <c r="C67" s="13" t="s">
        <v>51</v>
      </c>
      <c r="D67" s="13" t="s">
        <v>112</v>
      </c>
      <c r="E67" s="13" t="s">
        <v>100</v>
      </c>
      <c r="F67" s="15">
        <v>80</v>
      </c>
      <c r="G67" s="15"/>
      <c r="H67" s="15"/>
      <c r="Z67" s="15" t="s">
        <v>16</v>
      </c>
      <c r="AA67" s="15" t="s">
        <v>65</v>
      </c>
      <c r="AB67" s="15" t="s">
        <v>137</v>
      </c>
      <c r="AC67" s="15">
        <v>2026</v>
      </c>
      <c r="AD67" s="15" t="s">
        <v>33</v>
      </c>
    </row>
    <row r="68" spans="1:30" x14ac:dyDescent="0.45">
      <c r="A68" s="18" t="s">
        <v>80</v>
      </c>
      <c r="B68" s="18" t="s">
        <v>89</v>
      </c>
      <c r="C68" s="16" t="s">
        <v>51</v>
      </c>
      <c r="D68" s="16" t="s">
        <v>112</v>
      </c>
      <c r="E68" s="16" t="s">
        <v>100</v>
      </c>
      <c r="F68" s="18">
        <v>80</v>
      </c>
      <c r="G68" s="18"/>
      <c r="H68" s="18"/>
      <c r="Z68" s="15" t="s">
        <v>17</v>
      </c>
      <c r="AA68" s="15" t="s">
        <v>65</v>
      </c>
      <c r="AB68" s="15" t="s">
        <v>137</v>
      </c>
      <c r="AC68" s="15">
        <v>2026</v>
      </c>
      <c r="AD68" s="15" t="s">
        <v>33</v>
      </c>
    </row>
    <row r="69" spans="1:30" x14ac:dyDescent="0.45">
      <c r="A69" s="18" t="s">
        <v>114</v>
      </c>
      <c r="B69" s="18" t="s">
        <v>89</v>
      </c>
      <c r="C69" s="16" t="s">
        <v>51</v>
      </c>
      <c r="D69" s="16" t="s">
        <v>112</v>
      </c>
      <c r="E69" s="16" t="s">
        <v>65</v>
      </c>
      <c r="F69" s="18">
        <v>240</v>
      </c>
      <c r="G69" s="18"/>
      <c r="H69" s="18"/>
      <c r="Z69" s="15" t="s">
        <v>19</v>
      </c>
      <c r="AA69" s="15" t="s">
        <v>65</v>
      </c>
      <c r="AB69" s="15" t="s">
        <v>137</v>
      </c>
      <c r="AC69" s="15">
        <v>2026</v>
      </c>
      <c r="AD69" s="15" t="s">
        <v>33</v>
      </c>
    </row>
    <row r="70" spans="1:30" x14ac:dyDescent="0.45">
      <c r="A70" s="15" t="s">
        <v>135</v>
      </c>
      <c r="B70" s="15" t="s">
        <v>91</v>
      </c>
      <c r="C70" s="13" t="s">
        <v>51</v>
      </c>
      <c r="D70" s="13" t="s">
        <v>112</v>
      </c>
      <c r="E70" s="13" t="s">
        <v>65</v>
      </c>
      <c r="F70" s="15">
        <v>320</v>
      </c>
      <c r="G70" s="15"/>
      <c r="H70" s="15"/>
      <c r="Z70" s="15" t="s">
        <v>21</v>
      </c>
      <c r="AA70" s="15" t="s">
        <v>65</v>
      </c>
      <c r="AB70" s="15" t="s">
        <v>137</v>
      </c>
      <c r="AC70" s="15">
        <v>2026</v>
      </c>
      <c r="AD70" s="15" t="s">
        <v>33</v>
      </c>
    </row>
    <row r="71" spans="1:30" x14ac:dyDescent="0.45">
      <c r="A71" s="15" t="s">
        <v>136</v>
      </c>
      <c r="B71" s="15" t="s">
        <v>91</v>
      </c>
      <c r="C71" s="13" t="s">
        <v>51</v>
      </c>
      <c r="D71" s="13" t="s">
        <v>112</v>
      </c>
      <c r="E71" s="13" t="s">
        <v>65</v>
      </c>
      <c r="F71" s="15">
        <v>80</v>
      </c>
      <c r="G71" s="15"/>
      <c r="H71" s="15"/>
      <c r="Z71" s="15" t="s">
        <v>68</v>
      </c>
      <c r="AA71" s="15" t="s">
        <v>65</v>
      </c>
      <c r="AB71" s="15" t="s">
        <v>137</v>
      </c>
      <c r="AC71" s="15">
        <v>2026</v>
      </c>
      <c r="AD71" s="15" t="s">
        <v>33</v>
      </c>
    </row>
    <row r="72" spans="1:30" x14ac:dyDescent="0.45">
      <c r="A72" s="15" t="s">
        <v>80</v>
      </c>
      <c r="B72" s="15" t="s">
        <v>91</v>
      </c>
      <c r="C72" s="13" t="s">
        <v>51</v>
      </c>
      <c r="D72" s="13" t="s">
        <v>112</v>
      </c>
      <c r="E72" s="13" t="s">
        <v>100</v>
      </c>
      <c r="F72" s="15">
        <v>80</v>
      </c>
      <c r="G72" s="15"/>
      <c r="H72" s="15"/>
      <c r="Z72" s="15" t="s">
        <v>88</v>
      </c>
      <c r="AA72" s="15" t="s">
        <v>65</v>
      </c>
      <c r="AB72" s="15" t="s">
        <v>137</v>
      </c>
      <c r="AC72" s="15">
        <v>2026</v>
      </c>
      <c r="AD72" s="15" t="s">
        <v>33</v>
      </c>
    </row>
    <row r="73" spans="1:30" x14ac:dyDescent="0.45">
      <c r="Z73" s="15" t="s">
        <v>113</v>
      </c>
      <c r="AA73" s="15" t="s">
        <v>65</v>
      </c>
      <c r="AB73" s="15" t="s">
        <v>137</v>
      </c>
      <c r="AC73" s="15">
        <v>2026</v>
      </c>
      <c r="AD73" s="15" t="s">
        <v>33</v>
      </c>
    </row>
  </sheetData>
  <mergeCells count="58">
    <mergeCell ref="W14:W15"/>
    <mergeCell ref="X14:X15"/>
    <mergeCell ref="R16:R17"/>
    <mergeCell ref="S16:S17"/>
    <mergeCell ref="T16:T17"/>
    <mergeCell ref="U16:U17"/>
    <mergeCell ref="V16:V17"/>
    <mergeCell ref="W16:W17"/>
    <mergeCell ref="X16:X17"/>
    <mergeCell ref="R14:R15"/>
    <mergeCell ref="S14:S15"/>
    <mergeCell ref="T14:T15"/>
    <mergeCell ref="U14:U15"/>
    <mergeCell ref="V14:V15"/>
    <mergeCell ref="I1:I1048576"/>
    <mergeCell ref="Y1:Y1048576"/>
    <mergeCell ref="R12:R13"/>
    <mergeCell ref="S2:S3"/>
    <mergeCell ref="S4:S5"/>
    <mergeCell ref="S6:S7"/>
    <mergeCell ref="S8:S9"/>
    <mergeCell ref="S10:S11"/>
    <mergeCell ref="S12:S13"/>
    <mergeCell ref="R2:R3"/>
    <mergeCell ref="R4:R5"/>
    <mergeCell ref="R6:R7"/>
    <mergeCell ref="R8:R9"/>
    <mergeCell ref="R10:R11"/>
    <mergeCell ref="X12:X13"/>
    <mergeCell ref="W2:W3"/>
    <mergeCell ref="W4:W5"/>
    <mergeCell ref="W6:W7"/>
    <mergeCell ref="W8:W9"/>
    <mergeCell ref="W10:W11"/>
    <mergeCell ref="W12:W13"/>
    <mergeCell ref="X2:X3"/>
    <mergeCell ref="X4:X5"/>
    <mergeCell ref="X6:X7"/>
    <mergeCell ref="X8:X9"/>
    <mergeCell ref="X10:X11"/>
    <mergeCell ref="T12:T13"/>
    <mergeCell ref="U2:U3"/>
    <mergeCell ref="U4:U5"/>
    <mergeCell ref="U6:U7"/>
    <mergeCell ref="U8:U9"/>
    <mergeCell ref="U10:U11"/>
    <mergeCell ref="U12:U13"/>
    <mergeCell ref="T2:T3"/>
    <mergeCell ref="T4:T5"/>
    <mergeCell ref="T6:T7"/>
    <mergeCell ref="T8:T9"/>
    <mergeCell ref="T10:T11"/>
    <mergeCell ref="V12:V13"/>
    <mergeCell ref="V2:V3"/>
    <mergeCell ref="V4:V5"/>
    <mergeCell ref="V6:V7"/>
    <mergeCell ref="V8:V9"/>
    <mergeCell ref="V10:V11"/>
  </mergeCells>
  <phoneticPr fontId="3" type="noConversion"/>
  <dataValidations count="4">
    <dataValidation type="list" allowBlank="1" showInputMessage="1" showErrorMessage="1" sqref="E2:E32" xr:uid="{78D95BAC-7B97-4262-9E34-38E14F8EEC31}">
      <formula1>"8AM-9AM,7AM-8AM"</formula1>
    </dataValidation>
    <dataValidation type="list" allowBlank="1" showInputMessage="1" showErrorMessage="1" sqref="J2:J1048576" xr:uid="{28098979-EBE9-44F1-8A1E-F0CCBAC94676}">
      <formula1>"Badminton Court,Shuttle box"</formula1>
    </dataValidation>
    <dataValidation type="list" allowBlank="1" showInputMessage="1" showErrorMessage="1" sqref="M2:M1048576" xr:uid="{B8FBD54D-8C79-4C69-949F-44F442179D65}">
      <formula1>"7AM-8AM,8AM-9AM"</formula1>
    </dataValidation>
    <dataValidation type="list" allowBlank="1" showDropDown="1" showInputMessage="1" showErrorMessage="1" sqref="K2:K1048576" xr:uid="{E8F59860-976A-4590-92CB-12472B56C15C}">
      <formula1>"January,February,March,April,May,June,July,August,September,October,November,December"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Nair</dc:creator>
  <cp:lastModifiedBy>Aditya Nair</cp:lastModifiedBy>
  <dcterms:created xsi:type="dcterms:W3CDTF">2026-03-28T17:26:41Z</dcterms:created>
  <dcterms:modified xsi:type="dcterms:W3CDTF">2026-06-28T10:53:26Z</dcterms:modified>
</cp:coreProperties>
</file>